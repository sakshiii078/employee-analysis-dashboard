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03298a9626682654/Documents/"/>
    </mc:Choice>
  </mc:AlternateContent>
  <xr:revisionPtr revIDLastSave="763" documentId="8_{64FADEF0-9D5F-4839-BEC8-453A581EAD40}" xr6:coauthVersionLast="47" xr6:coauthVersionMax="47" xr10:uidLastSave="{8F3AC30D-FC35-40E2-8AF5-3D63230B1833}"/>
  <bookViews>
    <workbookView xWindow="-108" yWindow="-108" windowWidth="23256" windowHeight="12456" activeTab="3" xr2:uid="{B7E1B984-BEB2-4075-8ACE-E4955654F26D}"/>
  </bookViews>
  <sheets>
    <sheet name="DATASET" sheetId="1" r:id="rId1"/>
    <sheet name="PIVOT TABLES" sheetId="2" r:id="rId2"/>
    <sheet name="PIVOT CHARTS" sheetId="3" r:id="rId3"/>
    <sheet name="DASHBOARD" sheetId="4" r:id="rId4"/>
  </sheets>
  <definedNames>
    <definedName name="_xlcn.WorksheetConnection_emloyee_salary_dataset.csv.xlsxTable11" hidden="1">Table1[]</definedName>
    <definedName name="Slicer_City">#N/A</definedName>
    <definedName name="Slicer_Department">#N/A</definedName>
    <definedName name="Slicer_Education_Level">#N/A</definedName>
    <definedName name="Slicer_Gender">#N/A</definedName>
  </definedNames>
  <calcPr calcId="191029"/>
  <pivotCaches>
    <pivotCache cacheId="35" r:id="rId5"/>
    <pivotCache cacheId="36" r:id="rId6"/>
    <pivotCache cacheId="37" r:id="rId7"/>
    <pivotCache cacheId="38" r:id="rId8"/>
    <pivotCache cacheId="39" r:id="rId9"/>
    <pivotCache cacheId="40" r:id="rId10"/>
  </pivotCaches>
  <extLst>
    <ext xmlns:x14="http://schemas.microsoft.com/office/spreadsheetml/2009/9/main" uri="{876F7934-8845-4945-9796-88D515C7AA90}">
      <x14:pivotCaches>
        <pivotCache cacheId="41"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mloyee_salary_dataset.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J2" i="4"/>
  <c r="G2" i="4"/>
  <c r="D2" i="4"/>
  <c r="A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C3814D-7F58-4D81-9223-1A54C079A4D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A1B856F-788D-4CB2-9799-E3A54C4075E3}" name="WorksheetConnection_emloyee_salary_dataset.csv.xlsx!Table1" type="102" refreshedVersion="8" minRefreshableVersion="5">
    <extLst>
      <ext xmlns:x15="http://schemas.microsoft.com/office/spreadsheetml/2010/11/main" uri="{DE250136-89BD-433C-8126-D09CA5730AF9}">
        <x15:connection id="Table1" autoDelete="1">
          <x15:rangePr sourceName="_xlcn.WorksheetConnection_emloyee_salary_dataset.csv.xlsxTable11"/>
        </x15:connection>
      </ext>
    </extLst>
  </connection>
</connections>
</file>

<file path=xl/sharedStrings.xml><?xml version="1.0" encoding="utf-8"?>
<sst xmlns="http://schemas.openxmlformats.org/spreadsheetml/2006/main" count="304" uniqueCount="86">
  <si>
    <t>EmployeeID</t>
  </si>
  <si>
    <t>Name</t>
  </si>
  <si>
    <t>Department</t>
  </si>
  <si>
    <t>Experience_Years</t>
  </si>
  <si>
    <t>Education_Level</t>
  </si>
  <si>
    <t>Age</t>
  </si>
  <si>
    <t>Gender</t>
  </si>
  <si>
    <t>City</t>
  </si>
  <si>
    <t>Monthly_Salary</t>
  </si>
  <si>
    <t>Employee_1</t>
  </si>
  <si>
    <t>Marketing</t>
  </si>
  <si>
    <t>Master</t>
  </si>
  <si>
    <t>Female</t>
  </si>
  <si>
    <t>Delhi</t>
  </si>
  <si>
    <t>Employee_2</t>
  </si>
  <si>
    <t>Operations</t>
  </si>
  <si>
    <t>Bachelor</t>
  </si>
  <si>
    <t>Bangalore</t>
  </si>
  <si>
    <t>Employee_3</t>
  </si>
  <si>
    <t>IT</t>
  </si>
  <si>
    <t>High School</t>
  </si>
  <si>
    <t>Hyderabad</t>
  </si>
  <si>
    <t>Employee_4</t>
  </si>
  <si>
    <t>PhD</t>
  </si>
  <si>
    <t>Male</t>
  </si>
  <si>
    <t>Employee_5</t>
  </si>
  <si>
    <t>Employee_6</t>
  </si>
  <si>
    <t>Finance</t>
  </si>
  <si>
    <t>Mumbai</t>
  </si>
  <si>
    <t>Employee_7</t>
  </si>
  <si>
    <t>Employee_8</t>
  </si>
  <si>
    <t>Employee_9</t>
  </si>
  <si>
    <t>Employee_10</t>
  </si>
  <si>
    <t>Employee_11</t>
  </si>
  <si>
    <t>Employee_12</t>
  </si>
  <si>
    <t>Employee_13</t>
  </si>
  <si>
    <t>Employee_14</t>
  </si>
  <si>
    <t>Employee_15</t>
  </si>
  <si>
    <t>Employee_16</t>
  </si>
  <si>
    <t>Employee_17</t>
  </si>
  <si>
    <t>Employee_18</t>
  </si>
  <si>
    <t>Chennai</t>
  </si>
  <si>
    <t>Employee_19</t>
  </si>
  <si>
    <t>HR</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</si>
  <si>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</si>
  <si>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</si>
  <si>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</si>
  <si>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</si>
  <si>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</si>
  <si>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</si>
  <si>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</si>
  <si>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</si>
  <si>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</si>
  <si>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</si>
  <si>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</si>
  <si>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</si>
  <si>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</si>
  <si>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</si>
  <si>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</si>
  <si>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</si>
  <si>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</si>
  <si>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</si>
  <si>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</si>
  <si>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</si>
  <si>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</si>
  <si>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</si>
  <si>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</si>
  <si>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</si>
  <si>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</si>
  <si>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</si>
  <si>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</si>
  <si>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</si>
  <si>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</si>
  <si>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</si>
  <si>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</si>
  <si>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EMPLOYEES BY DEPARTMENT</t>
  </si>
  <si>
    <t>Row Labels</t>
  </si>
  <si>
    <t>Grand Total</t>
  </si>
  <si>
    <t>Count of EmployeeID</t>
  </si>
  <si>
    <t>EMPLOYEES BY EDUCATION LEVEL</t>
  </si>
  <si>
    <t xml:space="preserve"> EMPLOYEES BY GENDER</t>
  </si>
  <si>
    <t>EMPLOYEES BY CITY</t>
  </si>
  <si>
    <t>AVG SALARY BY DEPARTMENT</t>
  </si>
  <si>
    <t>Average of Monthly_Salary</t>
  </si>
  <si>
    <t>SALARY BY EXPERIENCE</t>
  </si>
  <si>
    <t>EMPLOYEES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</si>
</sst>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0" fontId="0" fillId="0" borderId="0" xfId="0" applyAlignment="1">
      <alignment horizontal="left"/>
    </xf>
    <xf numFmtId="0" fontId="0" fillId="0" borderId="0" xfId="0" pivotButton="1"/>
    <xf numFmtId="9" fontId="0" fillId="0" borderId="0" xfId="0" applyNumberFormat="1"/>
    <xf numFmtId="0" fontId="0" fillId="34" borderId="0" xfId="0" applyFill="1"/>
    <xf numFmtId="0" fontId="18" fillId="0" borderId="0" xfId="0" applyFont="1" applyAlignment="1">
      <alignment horizontal="center" vertical="center"/>
    </xf>
    <xf numFmtId="0" fontId="19" fillId="0" borderId="0" xfId="0" applyFont="1" applyAlignment="1">
      <alignment horizontal="center"/>
    </xf>
    <xf numFmtId="0" fontId="0" fillId="0" borderId="0" xfId="0" applyAlignment="1">
      <alignment horizontal="center"/>
    </xf>
    <xf numFmtId="0" fontId="16" fillId="33" borderId="0" xfId="0" applyFont="1" applyFill="1" applyAlignment="1">
      <alignment horizontal="center"/>
    </xf>
    <xf numFmtId="1" fontId="16"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TABLES'!$A$3:$A$8</c:f>
              <c:strCache>
                <c:ptCount val="5"/>
                <c:pt idx="0">
                  <c:v>Finance</c:v>
                </c:pt>
                <c:pt idx="1">
                  <c:v>HR</c:v>
                </c:pt>
                <c:pt idx="2">
                  <c:v>IT</c:v>
                </c:pt>
                <c:pt idx="3">
                  <c:v>Marketing</c:v>
                </c:pt>
                <c:pt idx="4">
                  <c:v>Operations</c:v>
                </c:pt>
              </c:strCache>
            </c:strRef>
          </c:cat>
          <c:val>
            <c:numRef>
              <c:f>'PIVOT TABLES'!$B$3:$B$8</c:f>
              <c:numCache>
                <c:formatCode>General</c:formatCode>
                <c:ptCount val="5"/>
                <c:pt idx="0">
                  <c:v>10</c:v>
                </c:pt>
                <c:pt idx="1">
                  <c:v>7</c:v>
                </c:pt>
                <c:pt idx="2">
                  <c:v>10</c:v>
                </c:pt>
                <c:pt idx="3">
                  <c:v>13</c:v>
                </c:pt>
                <c:pt idx="4">
                  <c:v>10</c:v>
                </c:pt>
              </c:numCache>
            </c:numRef>
          </c:val>
          <c:extLst>
            <c:ext xmlns:c16="http://schemas.microsoft.com/office/drawing/2014/chart" uri="{C3380CC4-5D6E-409C-BE32-E72D297353CC}">
              <c16:uniqueId val="{00000001-457A-4C54-83E6-540E4FFAD443}"/>
            </c:ext>
          </c:extLst>
        </c:ser>
        <c:dLbls>
          <c:showLegendKey val="0"/>
          <c:showVal val="0"/>
          <c:showCatName val="0"/>
          <c:showSerName val="0"/>
          <c:showPercent val="0"/>
          <c:showBubbleSize val="0"/>
        </c:dLbls>
        <c:gapWidth val="219"/>
        <c:overlap val="-27"/>
        <c:axId val="209527392"/>
        <c:axId val="1114892912"/>
      </c:barChart>
      <c:catAx>
        <c:axId val="20952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92912"/>
        <c:crosses val="autoZero"/>
        <c:auto val="1"/>
        <c:lblAlgn val="ctr"/>
        <c:lblOffset val="100"/>
        <c:noMultiLvlLbl val="0"/>
      </c:catAx>
      <c:valAx>
        <c:axId val="1114892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2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B7-4102-ACB7-6706A1AA8F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B7-4102-ACB7-6706A1AA8F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B7-4102-ACB7-6706A1AA8F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B7-4102-ACB7-6706A1AA8F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TABLES'!$E$3:$E$7</c:f>
              <c:strCache>
                <c:ptCount val="4"/>
                <c:pt idx="0">
                  <c:v>Bachelor</c:v>
                </c:pt>
                <c:pt idx="1">
                  <c:v>High School</c:v>
                </c:pt>
                <c:pt idx="2">
                  <c:v>Master</c:v>
                </c:pt>
                <c:pt idx="3">
                  <c:v>PhD</c:v>
                </c:pt>
              </c:strCache>
            </c:strRef>
          </c:cat>
          <c:val>
            <c:numRef>
              <c:f>'PIVOT TABLES'!$F$3:$F$7</c:f>
              <c:numCache>
                <c:formatCode>General</c:formatCode>
                <c:ptCount val="4"/>
                <c:pt idx="0">
                  <c:v>9</c:v>
                </c:pt>
                <c:pt idx="1">
                  <c:v>12</c:v>
                </c:pt>
                <c:pt idx="2">
                  <c:v>19</c:v>
                </c:pt>
                <c:pt idx="3">
                  <c:v>10</c:v>
                </c:pt>
              </c:numCache>
            </c:numRef>
          </c:val>
          <c:extLst>
            <c:ext xmlns:c16="http://schemas.microsoft.com/office/drawing/2014/chart" uri="{C3380CC4-5D6E-409C-BE32-E72D297353CC}">
              <c16:uniqueId val="{00000008-79B7-4102-ACB7-6706A1AA8F45}"/>
            </c:ext>
          </c:extLst>
        </c:ser>
        <c:dLbls>
          <c:showLegendKey val="0"/>
          <c:showVal val="0"/>
          <c:showCatName val="0"/>
          <c:showSerName val="0"/>
          <c:showPercent val="0"/>
          <c:showBubbleSize val="0"/>
          <c:showLeaderLines val="1"/>
        </c:dLbls>
        <c:firstSliceAng val="0"/>
        <c:holeSize val="75"/>
      </c:doughnutChart>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0D-4C03-8D3B-BFA5D7C56E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0D-4C03-8D3B-BFA5D7C56E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TABLES'!$H$3:$H$5</c:f>
              <c:strCache>
                <c:ptCount val="2"/>
                <c:pt idx="0">
                  <c:v>Female</c:v>
                </c:pt>
                <c:pt idx="1">
                  <c:v>Male</c:v>
                </c:pt>
              </c:strCache>
            </c:strRef>
          </c:cat>
          <c:val>
            <c:numRef>
              <c:f>'PIVOT TABLES'!$I$3:$I$5</c:f>
              <c:numCache>
                <c:formatCode>General</c:formatCode>
                <c:ptCount val="2"/>
                <c:pt idx="0">
                  <c:v>27</c:v>
                </c:pt>
                <c:pt idx="1">
                  <c:v>23</c:v>
                </c:pt>
              </c:numCache>
            </c:numRef>
          </c:val>
          <c:extLst>
            <c:ext xmlns:c16="http://schemas.microsoft.com/office/drawing/2014/chart" uri="{C3380CC4-5D6E-409C-BE32-E72D297353CC}">
              <c16:uniqueId val="{00000004-EE0D-4C03-8D3B-BFA5D7C56E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Bangalore</c:v>
                </c:pt>
                <c:pt idx="1">
                  <c:v>Chennai</c:v>
                </c:pt>
                <c:pt idx="2">
                  <c:v>Delhi</c:v>
                </c:pt>
                <c:pt idx="3">
                  <c:v>Hyderabad</c:v>
                </c:pt>
                <c:pt idx="4">
                  <c:v>Mumbai</c:v>
                </c:pt>
              </c:strCache>
            </c:strRef>
          </c:cat>
          <c:val>
            <c:numRef>
              <c:f>'PIVOT TABLES'!$C$13:$C$18</c:f>
              <c:numCache>
                <c:formatCode>General</c:formatCode>
                <c:ptCount val="5"/>
                <c:pt idx="0">
                  <c:v>11</c:v>
                </c:pt>
                <c:pt idx="1">
                  <c:v>5</c:v>
                </c:pt>
                <c:pt idx="2">
                  <c:v>15</c:v>
                </c:pt>
                <c:pt idx="3">
                  <c:v>12</c:v>
                </c:pt>
                <c:pt idx="4">
                  <c:v>7</c:v>
                </c:pt>
              </c:numCache>
            </c:numRef>
          </c:val>
          <c:extLst>
            <c:ext xmlns:c16="http://schemas.microsoft.com/office/drawing/2014/chart" uri="{C3380CC4-5D6E-409C-BE32-E72D297353CC}">
              <c16:uniqueId val="{00000000-6CD9-42DE-8416-186F6B63EFA5}"/>
            </c:ext>
          </c:extLst>
        </c:ser>
        <c:dLbls>
          <c:showLegendKey val="0"/>
          <c:showVal val="0"/>
          <c:showCatName val="0"/>
          <c:showSerName val="0"/>
          <c:showPercent val="0"/>
          <c:showBubbleSize val="0"/>
        </c:dLbls>
        <c:gapWidth val="182"/>
        <c:axId val="209570544"/>
        <c:axId val="989908432"/>
      </c:barChart>
      <c:catAx>
        <c:axId val="209570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908432"/>
        <c:crosses val="autoZero"/>
        <c:auto val="1"/>
        <c:lblAlgn val="ctr"/>
        <c:lblOffset val="100"/>
        <c:noMultiLvlLbl val="0"/>
      </c:catAx>
      <c:valAx>
        <c:axId val="989908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70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TABLES'!$F$12</c:f>
              <c:strCache>
                <c:ptCount val="1"/>
                <c:pt idx="0">
                  <c:v>Total</c:v>
                </c:pt>
              </c:strCache>
            </c:strRef>
          </c:tx>
          <c:spPr>
            <a:solidFill>
              <a:schemeClr val="accent1"/>
            </a:solidFill>
            <a:ln>
              <a:noFill/>
            </a:ln>
            <a:effectLst/>
          </c:spPr>
          <c:invertIfNegative val="0"/>
          <c:cat>
            <c:strRef>
              <c:f>'PIVOT TABLES'!$E$13:$E$17</c:f>
              <c:strCache>
                <c:ptCount val="4"/>
                <c:pt idx="0">
                  <c:v>HR</c:v>
                </c:pt>
                <c:pt idx="1">
                  <c:v>IT</c:v>
                </c:pt>
                <c:pt idx="2">
                  <c:v>Marketing</c:v>
                </c:pt>
                <c:pt idx="3">
                  <c:v>Operations</c:v>
                </c:pt>
              </c:strCache>
            </c:strRef>
          </c:cat>
          <c:val>
            <c:numRef>
              <c:f>'PIVOT TABLES'!$F$13:$F$17</c:f>
              <c:numCache>
                <c:formatCode>General</c:formatCode>
                <c:ptCount val="4"/>
                <c:pt idx="0">
                  <c:v>132455</c:v>
                </c:pt>
                <c:pt idx="1">
                  <c:v>44830</c:v>
                </c:pt>
                <c:pt idx="2">
                  <c:v>114870.5</c:v>
                </c:pt>
                <c:pt idx="3">
                  <c:v>95271</c:v>
                </c:pt>
              </c:numCache>
            </c:numRef>
          </c:val>
          <c:extLst>
            <c:ext xmlns:c16="http://schemas.microsoft.com/office/drawing/2014/chart" uri="{C3380CC4-5D6E-409C-BE32-E72D297353CC}">
              <c16:uniqueId val="{00000001-D299-4B93-B538-20400ECE4FB0}"/>
            </c:ext>
          </c:extLst>
        </c:ser>
        <c:dLbls>
          <c:showLegendKey val="0"/>
          <c:showVal val="0"/>
          <c:showCatName val="0"/>
          <c:showSerName val="0"/>
          <c:showPercent val="0"/>
          <c:showBubbleSize val="0"/>
        </c:dLbls>
        <c:gapWidth val="182"/>
        <c:axId val="489146432"/>
        <c:axId val="1114921232"/>
      </c:barChart>
      <c:catAx>
        <c:axId val="489146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21232"/>
        <c:crosses val="autoZero"/>
        <c:auto val="1"/>
        <c:lblAlgn val="ctr"/>
        <c:lblOffset val="100"/>
        <c:noMultiLvlLbl val="0"/>
      </c:catAx>
      <c:valAx>
        <c:axId val="1114921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146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[emloyee_salary_dataset.csv.xlsx]PIVOT TABLES!PivotTable17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9641673206902"/>
          <c:y val="0.12143507743388948"/>
          <c:w val="0.88111635065574667"/>
          <c:h val="0.66953753397013482"/>
        </c:manualLayout>
      </c:layout>
      <c:lineChart>
        <c:grouping val="standard"/>
        <c:varyColors val="0"/>
        <c:ser>
          <c:idx val="0"/>
          <c:order val="0"/>
          <c:tx>
            <c:strRef>
              <c:f>'PIVOT TABLES'!$I$12</c:f>
              <c:strCache>
                <c:ptCount val="1"/>
                <c:pt idx="0">
                  <c:v>Total</c:v>
                </c:pt>
              </c:strCache>
            </c:strRef>
          </c:tx>
          <c:spPr>
            <a:ln w="28575" cap="rnd">
              <a:solidFill>
                <a:schemeClr val="accent1"/>
              </a:solidFill>
              <a:round/>
            </a:ln>
            <a:effectLst/>
          </c:spPr>
          <c:marker>
            <c:symbol val="none"/>
          </c:marker>
          <c:cat>
            <c:strRef>
              <c:f>'PIVOT TABLES'!$H$13:$H$32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'PIVOT TABLES'!$I$13:$I$32</c:f>
              <c:numCache>
                <c:formatCode>General</c:formatCode>
                <c:ptCount val="19"/>
                <c:pt idx="0">
                  <c:v>62014.666666666664</c:v>
                </c:pt>
                <c:pt idx="1">
                  <c:v>64039.5</c:v>
                </c:pt>
                <c:pt idx="2">
                  <c:v>70951.333333333328</c:v>
                </c:pt>
                <c:pt idx="3">
                  <c:v>80488.75</c:v>
                </c:pt>
                <c:pt idx="4">
                  <c:v>28420</c:v>
                </c:pt>
                <c:pt idx="5">
                  <c:v>28436</c:v>
                </c:pt>
                <c:pt idx="6">
                  <c:v>88381</c:v>
                </c:pt>
                <c:pt idx="7">
                  <c:v>109035.16666666667</c:v>
                </c:pt>
                <c:pt idx="8">
                  <c:v>138534.5</c:v>
                </c:pt>
                <c:pt idx="9">
                  <c:v>98473</c:v>
                </c:pt>
                <c:pt idx="10">
                  <c:v>61212</c:v>
                </c:pt>
                <c:pt idx="11">
                  <c:v>60762</c:v>
                </c:pt>
                <c:pt idx="12">
                  <c:v>92860.666666666672</c:v>
                </c:pt>
                <c:pt idx="13">
                  <c:v>60056.666666666664</c:v>
                </c:pt>
                <c:pt idx="14">
                  <c:v>102797.2</c:v>
                </c:pt>
                <c:pt idx="15">
                  <c:v>120533.5</c:v>
                </c:pt>
                <c:pt idx="16">
                  <c:v>58516</c:v>
                </c:pt>
                <c:pt idx="17">
                  <c:v>54110.333333333336</c:v>
                </c:pt>
                <c:pt idx="18">
                  <c:v>68525</c:v>
                </c:pt>
              </c:numCache>
            </c:numRef>
          </c:val>
          <c:smooth val="0"/>
          <c:extLst>
            <c:ext xmlns:c16="http://schemas.microsoft.com/office/drawing/2014/chart" uri="{C3380CC4-5D6E-409C-BE32-E72D297353CC}">
              <c16:uniqueId val="{00000000-FBD3-4518-9F60-089294A864A6}"/>
            </c:ext>
          </c:extLst>
        </c:ser>
        <c:dLbls>
          <c:showLegendKey val="0"/>
          <c:showVal val="0"/>
          <c:showCatName val="0"/>
          <c:showSerName val="0"/>
          <c:showPercent val="0"/>
          <c:showBubbleSize val="0"/>
        </c:dLbls>
        <c:smooth val="0"/>
        <c:axId val="518817120"/>
        <c:axId val="114346991"/>
      </c:lineChart>
      <c:catAx>
        <c:axId val="51881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6991"/>
        <c:crosses val="autoZero"/>
        <c:auto val="1"/>
        <c:lblAlgn val="ctr"/>
        <c:lblOffset val="100"/>
        <c:noMultiLvlLbl val="0"/>
      </c:catAx>
      <c:valAx>
        <c:axId val="114346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817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DEPARTENT</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6"/>
            </a:solidFill>
            <a:ln>
              <a:noFill/>
            </a:ln>
            <a:effectLst/>
          </c:spPr>
          <c:invertIfNegative val="0"/>
          <c:cat>
            <c:strRef>
              <c:f>'PIVOT TABLES'!$A$3:$A$8</c:f>
              <c:strCache>
                <c:ptCount val="5"/>
                <c:pt idx="0">
                  <c:v>Finance</c:v>
                </c:pt>
                <c:pt idx="1">
                  <c:v>HR</c:v>
                </c:pt>
                <c:pt idx="2">
                  <c:v>IT</c:v>
                </c:pt>
                <c:pt idx="3">
                  <c:v>Marketing</c:v>
                </c:pt>
                <c:pt idx="4">
                  <c:v>Operations</c:v>
                </c:pt>
              </c:strCache>
            </c:strRef>
          </c:cat>
          <c:val>
            <c:numRef>
              <c:f>'PIVOT TABLES'!$B$3:$B$8</c:f>
              <c:numCache>
                <c:formatCode>General</c:formatCode>
                <c:ptCount val="5"/>
                <c:pt idx="0">
                  <c:v>10</c:v>
                </c:pt>
                <c:pt idx="1">
                  <c:v>7</c:v>
                </c:pt>
                <c:pt idx="2">
                  <c:v>10</c:v>
                </c:pt>
                <c:pt idx="3">
                  <c:v>13</c:v>
                </c:pt>
                <c:pt idx="4">
                  <c:v>10</c:v>
                </c:pt>
              </c:numCache>
            </c:numRef>
          </c:val>
          <c:extLst>
            <c:ext xmlns:c16="http://schemas.microsoft.com/office/drawing/2014/chart" uri="{C3380CC4-5D6E-409C-BE32-E72D297353CC}">
              <c16:uniqueId val="{00000000-CCAE-48EA-9CDC-C49313FAB29B}"/>
            </c:ext>
          </c:extLst>
        </c:ser>
        <c:dLbls>
          <c:showLegendKey val="0"/>
          <c:showVal val="0"/>
          <c:showCatName val="0"/>
          <c:showSerName val="0"/>
          <c:showPercent val="0"/>
          <c:showBubbleSize val="0"/>
        </c:dLbls>
        <c:gapWidth val="219"/>
        <c:overlap val="-27"/>
        <c:axId val="488996096"/>
        <c:axId val="114380111"/>
      </c:barChart>
      <c:catAx>
        <c:axId val="48899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0111"/>
        <c:crosses val="autoZero"/>
        <c:auto val="1"/>
        <c:lblAlgn val="ctr"/>
        <c:lblOffset val="100"/>
        <c:noMultiLvlLbl val="0"/>
      </c:catAx>
      <c:valAx>
        <c:axId val="11438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9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EDUCATION</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58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tint val="58000"/>
            </a:schemeClr>
          </a:solidFill>
          <a:ln w="19050">
            <a:solidFill>
              <a:schemeClr val="lt1"/>
            </a:solidFill>
          </a:ln>
          <a:effectLst/>
        </c:spPr>
      </c:pivotFmt>
    </c:pivotFmts>
    <c:plotArea>
      <c:layout>
        <c:manualLayout>
          <c:layoutTarget val="inner"/>
          <c:xMode val="edge"/>
          <c:yMode val="edge"/>
          <c:x val="0.18022243819940917"/>
          <c:y val="0.23303036675311734"/>
          <c:w val="0.46772147728395869"/>
          <c:h val="0.66341503306152005"/>
        </c:manualLayout>
      </c:layout>
      <c:doughnutChart>
        <c:varyColors val="1"/>
        <c:ser>
          <c:idx val="0"/>
          <c:order val="0"/>
          <c:tx>
            <c:strRef>
              <c:f>'PIVOT TABLES'!$F$2</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81AD-4D9A-9D1F-25FAF0229E26}"/>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81AD-4D9A-9D1F-25FAF0229E26}"/>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81AD-4D9A-9D1F-25FAF0229E26}"/>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81AD-4D9A-9D1F-25FAF0229E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TABLES'!$E$3:$E$7</c:f>
              <c:strCache>
                <c:ptCount val="4"/>
                <c:pt idx="0">
                  <c:v>Bachelor</c:v>
                </c:pt>
                <c:pt idx="1">
                  <c:v>High School</c:v>
                </c:pt>
                <c:pt idx="2">
                  <c:v>Master</c:v>
                </c:pt>
                <c:pt idx="3">
                  <c:v>PhD</c:v>
                </c:pt>
              </c:strCache>
            </c:strRef>
          </c:cat>
          <c:val>
            <c:numRef>
              <c:f>'PIVOT TABLES'!$F$3:$F$7</c:f>
              <c:numCache>
                <c:formatCode>General</c:formatCode>
                <c:ptCount val="4"/>
                <c:pt idx="0">
                  <c:v>9</c:v>
                </c:pt>
                <c:pt idx="1">
                  <c:v>12</c:v>
                </c:pt>
                <c:pt idx="2">
                  <c:v>19</c:v>
                </c:pt>
                <c:pt idx="3">
                  <c:v>10</c:v>
                </c:pt>
              </c:numCache>
            </c:numRef>
          </c:val>
          <c:extLst>
            <c:ext xmlns:c16="http://schemas.microsoft.com/office/drawing/2014/chart" uri="{C3380CC4-5D6E-409C-BE32-E72D297353CC}">
              <c16:uniqueId val="{00000008-81AD-4D9A-9D1F-25FAF0229E2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GENDER</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tint val="77000"/>
            </a:schemeClr>
          </a:solidFill>
          <a:ln w="19050">
            <a:solidFill>
              <a:schemeClr val="lt1"/>
            </a:solidFill>
          </a:ln>
          <a:effectLst/>
        </c:spPr>
      </c:pivotFmt>
      <c:pivotFmt>
        <c:idx val="6"/>
        <c:spPr>
          <a:solidFill>
            <a:schemeClr val="accent6">
              <a:shade val="76000"/>
            </a:schemeClr>
          </a:solidFill>
          <a:ln w="19050">
            <a:solidFill>
              <a:schemeClr val="lt1"/>
            </a:solidFill>
          </a:ln>
          <a:effectLst/>
        </c:spPr>
      </c:pivotFmt>
    </c:pivotFmts>
    <c:plotArea>
      <c:layout>
        <c:manualLayout>
          <c:layoutTarget val="inner"/>
          <c:xMode val="edge"/>
          <c:yMode val="edge"/>
          <c:x val="0.12634007089320021"/>
          <c:y val="0.20920542635658915"/>
          <c:w val="0.48529209621993125"/>
          <c:h val="0.6842054263565891"/>
        </c:manualLayout>
      </c:layout>
      <c:doughnutChart>
        <c:varyColors val="1"/>
        <c:ser>
          <c:idx val="0"/>
          <c:order val="0"/>
          <c:tx>
            <c:strRef>
              <c:f>'PIVOT TABLES'!$I$2</c:f>
              <c:strCache>
                <c:ptCount val="1"/>
                <c:pt idx="0">
                  <c:v>Total</c:v>
                </c:pt>
              </c:strCache>
            </c:strRef>
          </c:tx>
          <c:dPt>
            <c:idx val="0"/>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1-2CB6-4E48-89FD-DB6595E99A42}"/>
              </c:ext>
            </c:extLst>
          </c:dPt>
          <c:dPt>
            <c:idx val="1"/>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3-2CB6-4E48-89FD-DB6595E99A42}"/>
              </c:ext>
            </c:extLst>
          </c:dPt>
          <c:cat>
            <c:strRef>
              <c:f>'PIVOT TABLES'!$H$3:$H$5</c:f>
              <c:strCache>
                <c:ptCount val="2"/>
                <c:pt idx="0">
                  <c:v>Female</c:v>
                </c:pt>
                <c:pt idx="1">
                  <c:v>Male</c:v>
                </c:pt>
              </c:strCache>
            </c:strRef>
          </c:cat>
          <c:val>
            <c:numRef>
              <c:f>'PIVOT TABLES'!$I$3:$I$5</c:f>
              <c:numCache>
                <c:formatCode>General</c:formatCode>
                <c:ptCount val="2"/>
                <c:pt idx="0">
                  <c:v>27</c:v>
                </c:pt>
                <c:pt idx="1">
                  <c:v>23</c:v>
                </c:pt>
              </c:numCache>
            </c:numRef>
          </c:val>
          <c:extLst>
            <c:ext xmlns:c16="http://schemas.microsoft.com/office/drawing/2014/chart" uri="{C3380CC4-5D6E-409C-BE32-E72D297353CC}">
              <c16:uniqueId val="{00000004-2CB6-4E48-89FD-DB6595E99A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EMPLOYEES</a:t>
            </a:r>
            <a:r>
              <a:rPr lang="en-US" b="1" baseline="0"/>
              <a:t> BY CITY</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7755905511811"/>
          <c:y val="0.17675925925925923"/>
          <c:w val="0.80411329833770784"/>
          <c:h val="0.70195246427529878"/>
        </c:manualLayout>
      </c:layout>
      <c:barChart>
        <c:barDir val="bar"/>
        <c:grouping val="clustered"/>
        <c:varyColors val="0"/>
        <c:ser>
          <c:idx val="0"/>
          <c:order val="0"/>
          <c:tx>
            <c:strRef>
              <c:f>'PIVOT TABLES'!$C$12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TABLES'!$B$13:$B$18</c:f>
              <c:strCache>
                <c:ptCount val="5"/>
                <c:pt idx="0">
                  <c:v>Bangalore</c:v>
                </c:pt>
                <c:pt idx="1">
                  <c:v>Chennai</c:v>
                </c:pt>
                <c:pt idx="2">
                  <c:v>Delhi</c:v>
                </c:pt>
                <c:pt idx="3">
                  <c:v>Hyderabad</c:v>
                </c:pt>
                <c:pt idx="4">
                  <c:v>Mumbai</c:v>
                </c:pt>
              </c:strCache>
            </c:strRef>
          </c:cat>
          <c:val>
            <c:numRef>
              <c:f>'PIVOT TABLES'!$C$13:$C$18</c:f>
              <c:numCache>
                <c:formatCode>General</c:formatCode>
                <c:ptCount val="5"/>
                <c:pt idx="0">
                  <c:v>11</c:v>
                </c:pt>
                <c:pt idx="1">
                  <c:v>5</c:v>
                </c:pt>
                <c:pt idx="2">
                  <c:v>15</c:v>
                </c:pt>
                <c:pt idx="3">
                  <c:v>12</c:v>
                </c:pt>
                <c:pt idx="4">
                  <c:v>7</c:v>
                </c:pt>
              </c:numCache>
            </c:numRef>
          </c:val>
          <c:extLst>
            <c:ext xmlns:c16="http://schemas.microsoft.com/office/drawing/2014/chart" uri="{C3380CC4-5D6E-409C-BE32-E72D297353CC}">
              <c16:uniqueId val="{00000000-DBB0-488D-9E99-359333D9DC49}"/>
            </c:ext>
          </c:extLst>
        </c:ser>
        <c:dLbls>
          <c:dLblPos val="outEnd"/>
          <c:showLegendKey val="0"/>
          <c:showVal val="1"/>
          <c:showCatName val="0"/>
          <c:showSerName val="0"/>
          <c:showPercent val="0"/>
          <c:showBubbleSize val="0"/>
        </c:dLbls>
        <c:gapWidth val="182"/>
        <c:axId val="94243135"/>
        <c:axId val="114526511"/>
      </c:barChart>
      <c:catAx>
        <c:axId val="9424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26511"/>
        <c:crosses val="autoZero"/>
        <c:auto val="1"/>
        <c:lblAlgn val="ctr"/>
        <c:lblOffset val="100"/>
        <c:noMultiLvlLbl val="0"/>
      </c:catAx>
      <c:valAx>
        <c:axId val="114526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SALARY BY DEPARTMENT</a:t>
            </a:r>
          </a:p>
          <a:p>
            <a:pPr>
              <a:defRPr/>
            </a:pPr>
            <a:endParaRPr lang="en-US" b="1"/>
          </a:p>
        </c:rich>
      </c:tx>
      <c:layout>
        <c:manualLayout>
          <c:xMode val="edge"/>
          <c:yMode val="edge"/>
          <c:x val="0.27441094341285932"/>
          <c:y val="3.7812173733540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8958880139981"/>
          <c:y val="0.18138888888888888"/>
          <c:w val="0.77715485564304465"/>
          <c:h val="0.71121172353455808"/>
        </c:manualLayout>
      </c:layout>
      <c:barChart>
        <c:barDir val="bar"/>
        <c:grouping val="clustered"/>
        <c:varyColors val="0"/>
        <c:ser>
          <c:idx val="0"/>
          <c:order val="0"/>
          <c:tx>
            <c:strRef>
              <c:f>'PIVOT TABLES'!$F$12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TABLES'!$E$13:$E$17</c:f>
              <c:strCache>
                <c:ptCount val="4"/>
                <c:pt idx="0">
                  <c:v>HR</c:v>
                </c:pt>
                <c:pt idx="1">
                  <c:v>IT</c:v>
                </c:pt>
                <c:pt idx="2">
                  <c:v>Marketing</c:v>
                </c:pt>
                <c:pt idx="3">
                  <c:v>Operations</c:v>
                </c:pt>
              </c:strCache>
            </c:strRef>
          </c:cat>
          <c:val>
            <c:numRef>
              <c:f>'PIVOT TABLES'!$F$13:$F$17</c:f>
              <c:numCache>
                <c:formatCode>General</c:formatCode>
                <c:ptCount val="4"/>
                <c:pt idx="0">
                  <c:v>132455</c:v>
                </c:pt>
                <c:pt idx="1">
                  <c:v>44830</c:v>
                </c:pt>
                <c:pt idx="2">
                  <c:v>114870.5</c:v>
                </c:pt>
                <c:pt idx="3">
                  <c:v>95271</c:v>
                </c:pt>
              </c:numCache>
            </c:numRef>
          </c:val>
          <c:extLst>
            <c:ext xmlns:c16="http://schemas.microsoft.com/office/drawing/2014/chart" uri="{C3380CC4-5D6E-409C-BE32-E72D297353CC}">
              <c16:uniqueId val="{00000001-6780-464D-B8B6-878863B5498C}"/>
            </c:ext>
          </c:extLst>
        </c:ser>
        <c:dLbls>
          <c:showLegendKey val="0"/>
          <c:showVal val="0"/>
          <c:showCatName val="0"/>
          <c:showSerName val="0"/>
          <c:showPercent val="0"/>
          <c:showBubbleSize val="0"/>
        </c:dLbls>
        <c:gapWidth val="182"/>
        <c:axId val="30700639"/>
        <c:axId val="114484271"/>
      </c:barChart>
      <c:catAx>
        <c:axId val="3070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4271"/>
        <c:crosses val="autoZero"/>
        <c:auto val="1"/>
        <c:lblAlgn val="ctr"/>
        <c:lblOffset val="100"/>
        <c:noMultiLvlLbl val="0"/>
      </c:catAx>
      <c:valAx>
        <c:axId val="114484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006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[emloyee_salary_dataset.csv.xlsx]PIVOT TABLES!PivotTable17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 BY EXPERIENCE</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82174117869826E-2"/>
          <c:y val="0.17675925925925923"/>
          <c:w val="0.90963694230976755"/>
          <c:h val="0.71584135316418773"/>
        </c:manualLayout>
      </c:layout>
      <c:lineChart>
        <c:grouping val="standard"/>
        <c:varyColors val="0"/>
        <c:ser>
          <c:idx val="0"/>
          <c:order val="0"/>
          <c:tx>
            <c:strRef>
              <c:f>'PIVOT TABLES'!$I$12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TABLES'!$H$13:$H$32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'PIVOT TABLES'!$I$13:$I$32</c:f>
              <c:numCache>
                <c:formatCode>General</c:formatCode>
                <c:ptCount val="19"/>
                <c:pt idx="0">
                  <c:v>62014.666666666664</c:v>
                </c:pt>
                <c:pt idx="1">
                  <c:v>64039.5</c:v>
                </c:pt>
                <c:pt idx="2">
                  <c:v>70951.333333333328</c:v>
                </c:pt>
                <c:pt idx="3">
                  <c:v>80488.75</c:v>
                </c:pt>
                <c:pt idx="4">
                  <c:v>28420</c:v>
                </c:pt>
                <c:pt idx="5">
                  <c:v>28436</c:v>
                </c:pt>
                <c:pt idx="6">
                  <c:v>88381</c:v>
                </c:pt>
                <c:pt idx="7">
                  <c:v>109035.16666666667</c:v>
                </c:pt>
                <c:pt idx="8">
                  <c:v>138534.5</c:v>
                </c:pt>
                <c:pt idx="9">
                  <c:v>98473</c:v>
                </c:pt>
                <c:pt idx="10">
                  <c:v>61212</c:v>
                </c:pt>
                <c:pt idx="11">
                  <c:v>60762</c:v>
                </c:pt>
                <c:pt idx="12">
                  <c:v>92860.666666666672</c:v>
                </c:pt>
                <c:pt idx="13">
                  <c:v>60056.666666666664</c:v>
                </c:pt>
                <c:pt idx="14">
                  <c:v>102797.2</c:v>
                </c:pt>
                <c:pt idx="15">
                  <c:v>120533.5</c:v>
                </c:pt>
                <c:pt idx="16">
                  <c:v>58516</c:v>
                </c:pt>
                <c:pt idx="17">
                  <c:v>54110.333333333336</c:v>
                </c:pt>
                <c:pt idx="18">
                  <c:v>68525</c:v>
                </c:pt>
              </c:numCache>
            </c:numRef>
          </c:val>
          <c:smooth val="0"/>
          <c:extLst>
            <c:ext xmlns:c16="http://schemas.microsoft.com/office/drawing/2014/chart" uri="{C3380CC4-5D6E-409C-BE32-E72D297353CC}">
              <c16:uniqueId val="{00000000-CDE1-47CC-B56D-5F5F1DD5C405}"/>
            </c:ext>
          </c:extLst>
        </c:ser>
        <c:dLbls>
          <c:showLegendKey val="0"/>
          <c:showVal val="0"/>
          <c:showCatName val="0"/>
          <c:showSerName val="0"/>
          <c:showPercent val="0"/>
          <c:showBubbleSize val="0"/>
        </c:dLbls>
        <c:marker val="1"/>
        <c:smooth val="0"/>
        <c:axId val="489024864"/>
        <c:axId val="114382031"/>
      </c:lineChart>
      <c:catAx>
        <c:axId val="4890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2031"/>
        <c:crosses val="autoZero"/>
        <c:auto val="1"/>
        <c:lblAlgn val="ctr"/>
        <c:lblOffset val="100"/>
        <c:noMultiLvlLbl val="0"/>
      </c:catAx>
      <c:valAx>
        <c:axId val="114382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24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38100</xdr:colOff>
      <xdr:row>15</xdr:row>
      <xdr:rowOff>106680</xdr:rowOff>
    </xdr:to>
    <xdr:graphicFrame macro="">
      <xdr:nvGraphicFramePr>
        <xdr:cNvPr id="2" name="Chart 1">
          <a:extLst>
            <a:ext uri="{FF2B5EF4-FFF2-40B4-BE49-F238E27FC236}">
              <a16:creationId xmlns:a16="http://schemas.microsoft.com/office/drawing/2014/main" id="{3D942056-76E2-4408-83CB-C71E02029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13</xdr:col>
      <xdr:colOff>45720</xdr:colOff>
      <xdr:row>14</xdr:row>
      <xdr:rowOff>152400</xdr:rowOff>
    </xdr:to>
    <xdr:graphicFrame macro="">
      <xdr:nvGraphicFramePr>
        <xdr:cNvPr id="3" name="Chart 2">
          <a:extLst>
            <a:ext uri="{FF2B5EF4-FFF2-40B4-BE49-F238E27FC236}">
              <a16:creationId xmlns:a16="http://schemas.microsoft.com/office/drawing/2014/main" id="{6FEEE6AA-526B-421D-AAE8-CC0A1839F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xdr:row>
      <xdr:rowOff>0</xdr:rowOff>
    </xdr:from>
    <xdr:to>
      <xdr:col>19</xdr:col>
      <xdr:colOff>0</xdr:colOff>
      <xdr:row>14</xdr:row>
      <xdr:rowOff>30480</xdr:rowOff>
    </xdr:to>
    <xdr:graphicFrame macro="">
      <xdr:nvGraphicFramePr>
        <xdr:cNvPr id="4" name="Chart 3">
          <a:extLst>
            <a:ext uri="{FF2B5EF4-FFF2-40B4-BE49-F238E27FC236}">
              <a16:creationId xmlns:a16="http://schemas.microsoft.com/office/drawing/2014/main" id="{E750138E-BACA-4BBB-B405-05C9DA6F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18</xdr:row>
      <xdr:rowOff>0</xdr:rowOff>
    </xdr:from>
    <xdr:to>
      <xdr:col>7</xdr:col>
      <xdr:colOff>60960</xdr:colOff>
      <xdr:row>32</xdr:row>
      <xdr:rowOff>99060</xdr:rowOff>
    </xdr:to>
    <xdr:graphicFrame macro="">
      <xdr:nvGraphicFramePr>
        <xdr:cNvPr id="5" name="Chart 4">
          <a:extLst>
            <a:ext uri="{FF2B5EF4-FFF2-40B4-BE49-F238E27FC236}">
              <a16:creationId xmlns:a16="http://schemas.microsoft.com/office/drawing/2014/main" id="{D8EDCF33-AE16-4410-A202-B54AB7247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594360</xdr:colOff>
      <xdr:row>17</xdr:row>
      <xdr:rowOff>30480</xdr:rowOff>
    </xdr:from>
    <xdr:to>
      <xdr:col>16</xdr:col>
      <xdr:colOff>129540</xdr:colOff>
      <xdr:row>32</xdr:row>
      <xdr:rowOff>175260</xdr:rowOff>
    </xdr:to>
    <xdr:graphicFrame macro="">
      <xdr:nvGraphicFramePr>
        <xdr:cNvPr id="6" name="Chart 5">
          <a:extLst>
            <a:ext uri="{FF2B5EF4-FFF2-40B4-BE49-F238E27FC236}">
              <a16:creationId xmlns:a16="http://schemas.microsoft.com/office/drawing/2014/main" id="{83B0D312-CDCB-4E11-8A34-094FEBA30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63500</xdr:colOff>
      <xdr:row>35</xdr:row>
      <xdr:rowOff>63501</xdr:rowOff>
    </xdr:from>
    <xdr:to>
      <xdr:col>14</xdr:col>
      <xdr:colOff>551448</xdr:colOff>
      <xdr:row>53</xdr:row>
      <xdr:rowOff>44005</xdr:rowOff>
    </xdr:to>
    <xdr:graphicFrame macro="">
      <xdr:nvGraphicFramePr>
        <xdr:cNvPr id="7" name="Chart 6">
          <a:extLst>
            <a:ext uri="{FF2B5EF4-FFF2-40B4-BE49-F238E27FC236}">
              <a16:creationId xmlns:a16="http://schemas.microsoft.com/office/drawing/2014/main" id="{BAAA0FD7-2419-4502-8018-785C3DCB8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6984</xdr:colOff>
      <xdr:row>4</xdr:row>
      <xdr:rowOff>170800</xdr:rowOff>
    </xdr:from>
    <xdr:to>
      <xdr:col>6</xdr:col>
      <xdr:colOff>67944</xdr:colOff>
      <xdr:row>19</xdr:row>
      <xdr:rowOff>2204</xdr:rowOff>
    </xdr:to>
    <xdr:graphicFrame macro="">
      <xdr:nvGraphicFramePr>
        <xdr:cNvPr id="3" name="Chart 2">
          <a:extLst>
            <a:ext uri="{FF2B5EF4-FFF2-40B4-BE49-F238E27FC236}">
              <a16:creationId xmlns:a16="http://schemas.microsoft.com/office/drawing/2014/main" id="{651F1B2A-4413-4361-A491-5954F982C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62364</xdr:colOff>
      <xdr:row>4</xdr:row>
      <xdr:rowOff>182897</xdr:rowOff>
    </xdr:from>
    <xdr:to>
      <xdr:col>10</xdr:col>
      <xdr:colOff>45352</xdr:colOff>
      <xdr:row>19</xdr:row>
      <xdr:rowOff>7344</xdr:rowOff>
    </xdr:to>
    <xdr:graphicFrame macro="">
      <xdr:nvGraphicFramePr>
        <xdr:cNvPr id="4" name="Chart 3">
          <a:extLst>
            <a:ext uri="{FF2B5EF4-FFF2-40B4-BE49-F238E27FC236}">
              <a16:creationId xmlns:a16="http://schemas.microsoft.com/office/drawing/2014/main" id="{D201C3EA-AAB1-4CB1-A284-F9911CA7A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33812</xdr:colOff>
      <xdr:row>5</xdr:row>
      <xdr:rowOff>2548</xdr:rowOff>
    </xdr:from>
    <xdr:to>
      <xdr:col>16</xdr:col>
      <xdr:colOff>71912</xdr:colOff>
      <xdr:row>18</xdr:row>
      <xdr:rowOff>182063</xdr:rowOff>
    </xdr:to>
    <xdr:graphicFrame macro="">
      <xdr:nvGraphicFramePr>
        <xdr:cNvPr id="5" name="Chart 4">
          <a:extLst>
            <a:ext uri="{FF2B5EF4-FFF2-40B4-BE49-F238E27FC236}">
              <a16:creationId xmlns:a16="http://schemas.microsoft.com/office/drawing/2014/main" id="{798BD54A-D3F9-47E6-8754-A4515F033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5672</xdr:rowOff>
    </xdr:from>
    <xdr:to>
      <xdr:col>7</xdr:col>
      <xdr:colOff>398721</xdr:colOff>
      <xdr:row>35</xdr:row>
      <xdr:rowOff>14533</xdr:rowOff>
    </xdr:to>
    <xdr:graphicFrame macro="">
      <xdr:nvGraphicFramePr>
        <xdr:cNvPr id="6" name="Chart 5">
          <a:extLst>
            <a:ext uri="{FF2B5EF4-FFF2-40B4-BE49-F238E27FC236}">
              <a16:creationId xmlns:a16="http://schemas.microsoft.com/office/drawing/2014/main" id="{BDA4F263-BACF-4595-BE63-FDA0F389D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392727</xdr:colOff>
      <xdr:row>19</xdr:row>
      <xdr:rowOff>3444</xdr:rowOff>
    </xdr:from>
    <xdr:to>
      <xdr:col>15</xdr:col>
      <xdr:colOff>605380</xdr:colOff>
      <xdr:row>35</xdr:row>
      <xdr:rowOff>49164</xdr:rowOff>
    </xdr:to>
    <xdr:graphicFrame macro="">
      <xdr:nvGraphicFramePr>
        <xdr:cNvPr id="7" name="Chart 6">
          <a:extLst>
            <a:ext uri="{FF2B5EF4-FFF2-40B4-BE49-F238E27FC236}">
              <a16:creationId xmlns:a16="http://schemas.microsoft.com/office/drawing/2014/main" id="{993BDDCC-D014-4228-9232-5E1397DF0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39502</xdr:colOff>
      <xdr:row>35</xdr:row>
      <xdr:rowOff>34545</xdr:rowOff>
    </xdr:from>
    <xdr:to>
      <xdr:col>13</xdr:col>
      <xdr:colOff>145830</xdr:colOff>
      <xdr:row>51</xdr:row>
      <xdr:rowOff>79803</xdr:rowOff>
    </xdr:to>
    <xdr:graphicFrame macro="">
      <xdr:nvGraphicFramePr>
        <xdr:cNvPr id="8" name="Chart 7">
          <a:extLst>
            <a:ext uri="{FF2B5EF4-FFF2-40B4-BE49-F238E27FC236}">
              <a16:creationId xmlns:a16="http://schemas.microsoft.com/office/drawing/2014/main" id="{3DBD5D4D-935E-45DC-8EF3-C7BF9CB55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79062</xdr:colOff>
      <xdr:row>0</xdr:row>
      <xdr:rowOff>160000</xdr:rowOff>
    </xdr:from>
    <xdr:to>
      <xdr:col>19</xdr:col>
      <xdr:colOff>61340</xdr:colOff>
      <xdr:row>5</xdr:row>
      <xdr:rowOff>74633</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C06B557-BA1D-4CB2-87CB-00B1985BF8A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78240" y="160000"/>
              <a:ext cx="1819623" cy="883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111437</xdr:colOff>
      <xdr:row>5</xdr:row>
      <xdr:rowOff>146538</xdr:rowOff>
    </xdr:from>
    <xdr:to>
      <xdr:col>19</xdr:col>
      <xdr:colOff>106120</xdr:colOff>
      <xdr:row>10</xdr:row>
      <xdr:rowOff>128818</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61FE5AD-09AD-479B-BAEB-1EF725C6EE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10615" y="1115061"/>
              <a:ext cx="1832028" cy="908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144674</xdr:colOff>
      <xdr:row>11</xdr:row>
      <xdr:rowOff>39926</xdr:rowOff>
    </xdr:from>
    <xdr:to>
      <xdr:col>19</xdr:col>
      <xdr:colOff>139357</xdr:colOff>
      <xdr:row>19</xdr:row>
      <xdr:rowOff>93088</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7C3EF563-5071-412A-ABB7-CB843ED298C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951283" y="2094013"/>
              <a:ext cx="1833422" cy="1510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87592</xdr:colOff>
      <xdr:row>20</xdr:row>
      <xdr:rowOff>146218</xdr:rowOff>
    </xdr:from>
    <xdr:to>
      <xdr:col>19</xdr:col>
      <xdr:colOff>82275</xdr:colOff>
      <xdr:row>26</xdr:row>
      <xdr:rowOff>110778</xdr:rowOff>
    </xdr:to>
    <mc:AlternateContent xmlns:mc="http://schemas.openxmlformats.org/markup-compatibility/2006">
      <mc:Choice xmlns:a14="http://schemas.microsoft.com/office/drawing/2010/main" Requires="a14">
        <xdr:graphicFrame macro="">
          <xdr:nvGraphicFramePr>
            <xdr:cNvPr id="12" name="Education_Level">
              <a:extLst>
                <a:ext uri="{FF2B5EF4-FFF2-40B4-BE49-F238E27FC236}">
                  <a16:creationId xmlns:a16="http://schemas.microsoft.com/office/drawing/2014/main" id="{059B0818-917D-4696-8820-32C468C4A97D}"/>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9894201" y="3840261"/>
              <a:ext cx="1833422" cy="1057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1</xdr:row>
      <xdr:rowOff>80596</xdr:rowOff>
    </xdr:from>
    <xdr:to>
      <xdr:col>2</xdr:col>
      <xdr:colOff>461596</xdr:colOff>
      <xdr:row>3</xdr:row>
      <xdr:rowOff>0</xdr:rowOff>
    </xdr:to>
    <xdr:sp macro="" textlink="">
      <xdr:nvSpPr>
        <xdr:cNvPr id="13" name="TextBox 12">
          <a:extLst>
            <a:ext uri="{FF2B5EF4-FFF2-40B4-BE49-F238E27FC236}">
              <a16:creationId xmlns:a16="http://schemas.microsoft.com/office/drawing/2014/main" id="{7675174F-D58D-53E3-031E-F69B6FEBF410}"/>
            </a:ext>
          </a:extLst>
        </xdr:cNvPr>
        <xdr:cNvSpPr txBox="1"/>
      </xdr:nvSpPr>
      <xdr:spPr>
        <a:xfrm>
          <a:off x="1" y="813288"/>
          <a:ext cx="1677864" cy="285750"/>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EMPLOYEES</a:t>
          </a:r>
        </a:p>
      </xdr:txBody>
    </xdr:sp>
    <xdr:clientData/>
  </xdr:twoCellAnchor>
  <xdr:twoCellAnchor>
    <xdr:from>
      <xdr:col>3</xdr:col>
      <xdr:colOff>51288</xdr:colOff>
      <xdr:row>1</xdr:row>
      <xdr:rowOff>21981</xdr:rowOff>
    </xdr:from>
    <xdr:to>
      <xdr:col>5</xdr:col>
      <xdr:colOff>564173</xdr:colOff>
      <xdr:row>2</xdr:row>
      <xdr:rowOff>175847</xdr:rowOff>
    </xdr:to>
    <xdr:sp macro="" textlink="">
      <xdr:nvSpPr>
        <xdr:cNvPr id="14" name="TextBox 13">
          <a:extLst>
            <a:ext uri="{FF2B5EF4-FFF2-40B4-BE49-F238E27FC236}">
              <a16:creationId xmlns:a16="http://schemas.microsoft.com/office/drawing/2014/main" id="{2ABCFF76-4F47-47F5-485F-F2DE43E72E11}"/>
            </a:ext>
          </a:extLst>
        </xdr:cNvPr>
        <xdr:cNvSpPr txBox="1"/>
      </xdr:nvSpPr>
      <xdr:spPr>
        <a:xfrm>
          <a:off x="1875692" y="754673"/>
          <a:ext cx="1729154" cy="337039"/>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a:t>
          </a:r>
          <a:r>
            <a:rPr lang="en-IN" sz="1100" b="1" baseline="0"/>
            <a:t> EXPERIENCE</a:t>
          </a:r>
          <a:endParaRPr lang="en-IN" sz="1100" b="1"/>
        </a:p>
      </xdr:txBody>
    </xdr:sp>
    <xdr:clientData/>
  </xdr:twoCellAnchor>
  <xdr:twoCellAnchor>
    <xdr:from>
      <xdr:col>6</xdr:col>
      <xdr:colOff>117230</xdr:colOff>
      <xdr:row>1</xdr:row>
      <xdr:rowOff>29307</xdr:rowOff>
    </xdr:from>
    <xdr:to>
      <xdr:col>8</xdr:col>
      <xdr:colOff>505558</xdr:colOff>
      <xdr:row>2</xdr:row>
      <xdr:rowOff>139211</xdr:rowOff>
    </xdr:to>
    <xdr:sp macro="" textlink="">
      <xdr:nvSpPr>
        <xdr:cNvPr id="15" name="TextBox 14">
          <a:extLst>
            <a:ext uri="{FF2B5EF4-FFF2-40B4-BE49-F238E27FC236}">
              <a16:creationId xmlns:a16="http://schemas.microsoft.com/office/drawing/2014/main" id="{F152FBD0-C0A1-4A64-F1DA-B12BFED9FEC4}"/>
            </a:ext>
          </a:extLst>
        </xdr:cNvPr>
        <xdr:cNvSpPr txBox="1"/>
      </xdr:nvSpPr>
      <xdr:spPr>
        <a:xfrm>
          <a:off x="3766038" y="761999"/>
          <a:ext cx="1604597" cy="293077"/>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SALARY</a:t>
          </a:r>
        </a:p>
      </xdr:txBody>
    </xdr:sp>
    <xdr:clientData/>
  </xdr:twoCellAnchor>
  <xdr:twoCellAnchor>
    <xdr:from>
      <xdr:col>9</xdr:col>
      <xdr:colOff>109903</xdr:colOff>
      <xdr:row>1</xdr:row>
      <xdr:rowOff>80597</xdr:rowOff>
    </xdr:from>
    <xdr:to>
      <xdr:col>11</xdr:col>
      <xdr:colOff>578827</xdr:colOff>
      <xdr:row>2</xdr:row>
      <xdr:rowOff>95250</xdr:rowOff>
    </xdr:to>
    <xdr:sp macro="" textlink="">
      <xdr:nvSpPr>
        <xdr:cNvPr id="16" name="TextBox 15">
          <a:extLst>
            <a:ext uri="{FF2B5EF4-FFF2-40B4-BE49-F238E27FC236}">
              <a16:creationId xmlns:a16="http://schemas.microsoft.com/office/drawing/2014/main" id="{801C83BF-9340-AE62-DED7-D0EED51F2DA9}"/>
            </a:ext>
          </a:extLst>
        </xdr:cNvPr>
        <xdr:cNvSpPr txBox="1"/>
      </xdr:nvSpPr>
      <xdr:spPr>
        <a:xfrm>
          <a:off x="5583115" y="813289"/>
          <a:ext cx="1685193" cy="197826"/>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AVERAGE AGE</a:t>
          </a:r>
        </a:p>
      </xdr:txBody>
    </xdr:sp>
    <xdr:clientData/>
  </xdr:twoCellAnchor>
  <xdr:twoCellAnchor>
    <xdr:from>
      <xdr:col>12</xdr:col>
      <xdr:colOff>219807</xdr:colOff>
      <xdr:row>1</xdr:row>
      <xdr:rowOff>36635</xdr:rowOff>
    </xdr:from>
    <xdr:to>
      <xdr:col>14</xdr:col>
      <xdr:colOff>417634</xdr:colOff>
      <xdr:row>2</xdr:row>
      <xdr:rowOff>131885</xdr:rowOff>
    </xdr:to>
    <xdr:sp macro="" textlink="">
      <xdr:nvSpPr>
        <xdr:cNvPr id="17" name="TextBox 16">
          <a:extLst>
            <a:ext uri="{FF2B5EF4-FFF2-40B4-BE49-F238E27FC236}">
              <a16:creationId xmlns:a16="http://schemas.microsoft.com/office/drawing/2014/main" id="{94A664FF-EFCC-1342-D993-2464D79AEEBF}"/>
            </a:ext>
          </a:extLst>
        </xdr:cNvPr>
        <xdr:cNvSpPr txBox="1"/>
      </xdr:nvSpPr>
      <xdr:spPr>
        <a:xfrm>
          <a:off x="7517422" y="769327"/>
          <a:ext cx="1414097" cy="278423"/>
        </a:xfrm>
        <a:prstGeom prst="rect">
          <a:avLst/>
        </a:prstGeom>
        <a:solidFill>
          <a:schemeClr val="accent6">
            <a:lumMod val="60000"/>
            <a:lumOff val="40000"/>
          </a:schemeClr>
        </a:solid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HIGHEST SALARY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2418287035" backgroundQuery="1" createdVersion="8" refreshedVersion="8" minRefreshableVersion="3" recordCount="0" supportSubquery="1" supportAdvancedDrill="1" xr:uid="{A52EC1BB-34C8-4EDD-918F-606801CE9B81}">
  <cacheSource type="external" connectionId="1"/>
  <cacheFields count="2">
    <cacheField name="[Table1].[City].[City]" caption="City" numFmtId="0" hierarchy="7" level="1">
      <sharedItems count="5">
        <s v="Bangalore"/>
        <s v="Chennai"/>
        <s v="Delhi"/>
        <s v="Hyderabad"/>
        <s v="Mumbai"/>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1817592589" backgroundQuery="1" createdVersion="8" refreshedVersion="8" minRefreshableVersion="3" recordCount="0" supportSubquery="1" supportAdvancedDrill="1" xr:uid="{A8230363-C1FF-4EA2-BD3E-C7E65C9CE133}">
  <cacheSource type="external" connectionId="1"/>
  <cacheFields count="2">
    <cacheField name="[Table1].[Gender].[Gender]" caption="Gender" numFmtId="0" hierarchy="6" level="1">
      <sharedItems count="2">
        <s v="Female"/>
        <s v="Male"/>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0877314817" backgroundQuery="1" createdVersion="8" refreshedVersion="8" minRefreshableVersion="3" recordCount="0" supportSubquery="1" supportAdvancedDrill="1" xr:uid="{B245BB86-840E-4F6E-B4D9-CF6E219FEA8E}">
  <cacheSource type="external" connectionId="1"/>
  <cacheFields count="2">
    <cacheField name="[Table1].[Education_Level].[Education_Level]" caption="Education_Level" numFmtId="0" hierarchy="4" level="1">
      <sharedItems count="4">
        <s v="Bachelor"/>
        <s v="High School"/>
        <s v="Master"/>
        <s v="PhD"/>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0186689811" backgroundQuery="1" createdVersion="8" refreshedVersion="8" minRefreshableVersion="3" recordCount="0" supportSubquery="1" supportAdvancedDrill="1" xr:uid="{6A44E4D8-14B3-4FCB-A5C9-FA148889E163}">
  <cacheSource type="external" connectionId="1"/>
  <cacheFields count="2">
    <cacheField name="[Table1].[Department].[Department]" caption="Department" numFmtId="0" hierarchy="2" level="1">
      <sharedItems count="5">
        <s v="Finance"/>
        <s v="HR"/>
        <s v="IT"/>
        <s v="Marketing"/>
        <s v="Operations"/>
      </sharedItems>
    </cacheField>
    <cacheField name="[Measures].[Count of EmployeeID]" caption="Count of EmployeeID" numFmtId="0" hierarchy="12"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17143287034" backgroundQuery="1" createdVersion="8" refreshedVersion="8" minRefreshableVersion="3" recordCount="0" supportSubquery="1" supportAdvancedDrill="1" xr:uid="{FFDA429A-F7FA-4656-BD7C-A336E3B213FB}">
  <cacheSource type="external" connectionId="1"/>
  <cacheFields count="2">
    <cacheField name="[Table1].[Experience_Years].[Experience_Years]" caption="Experience_Years" numFmtId="0" hierarchy="3" level="1">
      <sharedItems containsSemiMixedTypes="0" containsString="0" containsNumber="1" containsInteger="1" minValue="1" maxValue="19" count="19">
        <n v="1"/>
        <n v="2"/>
        <n v="3"/>
        <n v="4"/>
        <n v="5"/>
        <n v="6"/>
        <n v="7"/>
        <n v="8"/>
        <n v="9"/>
        <n v="10"/>
        <n v="11"/>
        <n v="12"/>
        <n v="13"/>
        <n v="14"/>
        <n v="15"/>
        <n v="16"/>
        <n v="17"/>
        <n v="18"/>
        <n v="19"/>
      </sharedItems>
      <extLst>
        <ext xmlns:x15="http://schemas.microsoft.com/office/spreadsheetml/2010/11/main" uri="{4F2E5C28-24EA-4eb8-9CBF-B6C8F9C3D259}">
          <x15:cachedUniqueNames>
            <x15:cachedUniqueName index="0" name="[Table1].[Experience_Years].&amp;[1]"/>
            <x15:cachedUniqueName index="1" name="[Table1].[Experience_Years].&amp;[2]"/>
            <x15:cachedUniqueName index="2" name="[Table1].[Experience_Years].&amp;[3]"/>
            <x15:cachedUniqueName index="3" name="[Table1].[Experience_Years].&amp;[4]"/>
            <x15:cachedUniqueName index="4" name="[Table1].[Experience_Years].&amp;[5]"/>
            <x15:cachedUniqueName index="5" name="[Table1].[Experience_Years].&amp;[6]"/>
            <x15:cachedUniqueName index="6" name="[Table1].[Experience_Years].&amp;[7]"/>
            <x15:cachedUniqueName index="7" name="[Table1].[Experience_Years].&amp;[8]"/>
            <x15:cachedUniqueName index="8" name="[Table1].[Experience_Years].&amp;[9]"/>
            <x15:cachedUniqueName index="9" name="[Table1].[Experience_Years].&amp;[10]"/>
            <x15:cachedUniqueName index="10" name="[Table1].[Experience_Years].&amp;[11]"/>
            <x15:cachedUniqueName index="11" name="[Table1].[Experience_Years].&amp;[12]"/>
            <x15:cachedUniqueName index="12" name="[Table1].[Experience_Years].&amp;[13]"/>
            <x15:cachedUniqueName index="13" name="[Table1].[Experience_Years].&amp;[14]"/>
            <x15:cachedUniqueName index="14" name="[Table1].[Experience_Years].&amp;[15]"/>
            <x15:cachedUniqueName index="15" name="[Table1].[Experience_Years].&amp;[16]"/>
            <x15:cachedUniqueName index="16" name="[Table1].[Experience_Years].&amp;[17]"/>
            <x15:cachedUniqueName index="17" name="[Table1].[Experience_Years].&amp;[18]"/>
            <x15:cachedUniqueName index="18" name="[Table1].[Experience_Years].&amp;[19]"/>
          </x15:cachedUniqueNames>
        </ext>
      </extLst>
    </cacheField>
    <cacheField name="[Measures].[Average of Monthly_Salary]" caption="Average of Monthly_Salary" numFmtId="0" hierarchy="14" level="32767"/>
  </cacheFields>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xperience_Years]" caption="Experience_Years" attribute="1" defaultMemberUniqueName="[Table1].[Experience_Years].[All]" allUniqueName="[Table1].[Experience_Years].[All]" dimensionUniqueName="[Table1]" displayFolder="" count="2" memberValueDatatype="20" unbalanced="0">
      <fieldsUsage count="2">
        <fieldUsage x="-1"/>
        <fieldUsage x="0"/>
      </fieldsUsage>
    </cacheHierarchy>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619534606485" backgroundQuery="1" createdVersion="8" refreshedVersion="8" minRefreshableVersion="3" recordCount="0" supportSubquery="1" supportAdvancedDrill="1" xr:uid="{7A0A6DBA-69D2-4999-9463-FF5D71E56FC4}">
  <cacheSource type="external" connectionId="1"/>
  <cacheFields count="4">
    <cacheField name="[Table1].[Department].[Department]" caption="Department" numFmtId="0" hierarchy="2" level="1">
      <sharedItems count="4">
        <s v="HR"/>
        <s v="IT"/>
        <s v="Marketing"/>
        <s v="Operations"/>
      </sharedItems>
    </cacheField>
    <cacheField name="[Measures].[Average of Monthly_Salary]" caption="Average of Monthly_Salary" numFmtId="0" hierarchy="14" level="32767"/>
    <cacheField name="[Table1].[Gender].[Gender]" caption="Gender" numFmtId="0" hierarchy="6" level="1">
      <sharedItems containsSemiMixedTypes="0" containsNonDate="0" containsString="0"/>
    </cacheField>
    <cacheField name="[Table1].[City].[City]" caption="City" numFmtId="0" hierarchy="7" level="1">
      <sharedItems containsSemiMixedTypes="0" containsNonDate="0" containsString="0"/>
    </cacheField>
  </cacheFields>
  <cacheHierarchies count="17">
    <cacheHierarchy uniqueName="[Table1].[EmployeeID]" caption="EmployeeID" attribute="1" defaultMemberUniqueName="[Table1].[EmployeeID].[All]" allUniqueName="[Table1].[EmployeeID].[All]" dimensionUniqueName="[Table1]" displayFolder="" count="2" memberValueDatatype="20" unbalanced="0"/>
    <cacheHierarchy uniqueName="[Table1].[Name]" caption="Name" attribute="1" defaultMemberUniqueName="[Table1].[Name].[All]" allUniqueName="[Table1].[Name].[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Experience_Years]" caption="Experience_Years" attribute="1" defaultMemberUniqueName="[Table1].[Experience_Years].[All]" allUniqueName="[Table1].[Experience_Years].[All]" dimensionUniqueName="[Table1]" displayFolder="" count="2"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Monthly_Salary]" caption="Monthly_Salary" attribute="1" defaultMemberUniqueName="[Table1].[Monthly_Salary].[All]" allUniqueName="[Table1].[Monthly_Salary].[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ita" refreshedDate="46301.552669328703" backgroundQuery="1" createdVersion="3" refreshedVersion="8" minRefreshableVersion="3" recordCount="0" supportSubquery="1" supportAdvancedDrill="1" xr:uid="{6D6E49F3-522C-4895-ABC8-0D4FC4371C06}">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EmployeeID]" caption="EmployeeID" attribute="1" defaultMemberUniqueName="[Table1].[EmployeeID].[All]" allUniqueName="[Table1].[EmployeeID].[All]" dimensionUniqueName="[Table1]" displayFolder="" count="0" memberValueDatatype="20" unbalanced="0"/>
    <cacheHierarchy uniqueName="[Table1].[Name]" caption="Name" attribute="1" defaultMemberUniqueName="[Table1].[Name].[All]" allUniqueName="[Table1].[Name].[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Experience_Years]" caption="Experience_Years" attribute="1" defaultMemberUniqueName="[Table1].[Experience_Years].[All]" allUniqueName="[Table1].[Experience_Year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Monthly_Salary]" caption="Monthly_Salary" attribute="1" defaultMemberUniqueName="[Table1].[Monthly_Salary].[All]" allUniqueName="[Table1].[Monthly_Salary].[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ID]" caption="Sum of Employee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ID]" caption="Count of EmployeeID" measure="1" displayFolder="" measureGroup="Table1" count="0" hidden="1">
      <extLst>
        <ext xmlns:x15="http://schemas.microsoft.com/office/spreadsheetml/2010/11/main" uri="{B97F6D7D-B522-45F9-BDA1-12C45D357490}">
          <x15:cacheHierarchy aggregatedColumn="0"/>
        </ext>
      </extLst>
    </cacheHierarchy>
    <cacheHierarchy uniqueName="[Measures].[Sum of Monthly_Salary]" caption="Sum of Monthly_Salary" measure="1" displayFolder="" measureGroup="Table1" count="0" hidden="1">
      <extLst>
        <ext xmlns:x15="http://schemas.microsoft.com/office/spreadsheetml/2010/11/main" uri="{B97F6D7D-B522-45F9-BDA1-12C45D357490}">
          <x15:cacheHierarchy aggregatedColumn="8"/>
        </ext>
      </extLst>
    </cacheHierarchy>
    <cacheHierarchy uniqueName="[Measures].[Average of Monthly_Salary]" caption="Average of Monthly_Salary" measure="1" displayFolder="" measureGroup="Table1" count="0" hidden="1">
      <extLst>
        <ext xmlns:x15="http://schemas.microsoft.com/office/spreadsheetml/2010/11/main" uri="{B97F6D7D-B522-45F9-BDA1-12C45D357490}">
          <x15:cacheHierarchy aggregatedColumn="8"/>
        </ext>
      </extLst>
    </cacheHierarchy>
    <cacheHierarchy uniqueName="[Measures].[Sum of Experience_Years]" caption="Sum of Experience_Years" measure="1" displayFolder="" measureGroup="Table1"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8868200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64F926-CCB7-4638-A468-E15111FD72FB}" name="PivotTable1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12:C1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ID" fld="1" subtotal="count"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0124F-AFC1-40CA-9926-AE6E48B044D9}"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2:I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EmployeeID" fld="1" subtotal="count" baseField="0" baseItem="0"/>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872FE-C242-482A-BC28-4C02FED2E520}" name="PivotTable1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F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EmployeeID" fld="1" subtotal="count"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0" count="1" selected="0">
            <x v="0"/>
          </reference>
        </references>
      </pivotArea>
    </chartFormat>
    <chartFormat chart="11" format="8">
      <pivotArea type="data" outline="0" fieldPosition="0">
        <references count="2">
          <reference field="4294967294" count="1" selected="0">
            <x v="0"/>
          </reference>
          <reference field="0" count="1" selected="0">
            <x v="1"/>
          </reference>
        </references>
      </pivotArea>
    </chartFormat>
    <chartFormat chart="11" format="9">
      <pivotArea type="data" outline="0" fieldPosition="0">
        <references count="2">
          <reference field="4294967294" count="1" selected="0">
            <x v="0"/>
          </reference>
          <reference field="0" count="1" selected="0">
            <x v="2"/>
          </reference>
        </references>
      </pivotArea>
    </chartFormat>
    <chartFormat chart="11" format="10">
      <pivotArea type="data" outline="0" fieldPosition="0">
        <references count="2">
          <reference field="4294967294" count="1" selected="0">
            <x v="0"/>
          </reference>
          <reference field="0" count="1" selected="0">
            <x v="3"/>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362B5-6FCC-4770-B099-2BF86EB4243B}" name="PivotTable12"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B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EmployeeID" fld="1" subtotal="count" baseField="0" baseItem="0"/>
  </dataFields>
  <chartFormats count="2">
    <chartFormat chart="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99E1EC-A30C-4287-B0BF-9650BF7D58EB}" name="PivotTable1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2:I32" firstHeaderRow="1" firstDataRow="1" firstDataCol="1"/>
  <pivotFields count="2">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Average of Monthly_Salary" fld="1" subtotal="average" baseField="0" baseItem="0"/>
  </dataField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487E7-F445-4A29-BC7B-7F01D60E7D02}" name="PivotTable1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2:F17" firstHeaderRow="1" firstDataRow="1" firstDataCol="1"/>
  <pivotFields count="4">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Monthly_Salary" fld="1" subtotal="average" baseField="0" baseItem="0"/>
  </dataFields>
  <formats count="1">
    <format dxfId="0">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members count="1" level="1">
        <member name="[Table1].[Gender].&amp;[Female]"/>
      </members>
    </pivotHierarchy>
    <pivotHierarchy multipleItemSelectionAllowed="1" dragToData="1">
      <members count="1" level="1">
        <member name="[Table1].[City].&amp;[Bangalore]"/>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loyee_salary_dataset.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1DBD51-DB62-45FD-8A1C-0788D6FB87F5}" sourceName="[Table1].[Department]">
  <pivotTables>
    <pivotTable tabId="2" name="PivotTable16"/>
  </pivotTables>
  <data>
    <olap pivotCacheId="886820007">
      <levels count="2">
        <level uniqueName="[Table1].[Department].[(All)]" sourceCaption="(All)" count="0"/>
        <level uniqueName="[Table1].[Department].[Department]" sourceCaption="Department" count="5">
          <ranges>
            <range startItem="0">
              <i n="[Table1].[Department].&amp;[HR]" c="HR"/>
              <i n="[Table1].[Department].&amp;[IT]" c="IT"/>
              <i n="[Table1].[Department].&amp;[Marketing]" c="Marketing"/>
              <i n="[Table1].[Department].&amp;[Operations]" c="Operations"/>
              <i n="[Table1].[Department].&amp;[Finance]" c="Finance" nd="1"/>
            </range>
          </ranges>
        </level>
      </levels>
      <selections count="4">
        <selection n="[Table1].[Department].&amp;[HR]"/>
        <selection n="[Table1].[Department].&amp;[IT]"/>
        <selection n="[Table1].[Department].&amp;[Marketing]"/>
        <selection n="[Table1].[Department].&amp;[Operation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6859E77-47C5-4F49-863E-99DC47C7F791}" sourceName="[Table1].[Gender]">
  <pivotTables>
    <pivotTable tabId="2" name="PivotTable16"/>
  </pivotTables>
  <data>
    <olap pivotCacheId="886820007">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C0571FD-BF5B-4BB4-B9A2-4390BCC2CFEB}" sourceName="[Table1].[City]">
  <pivotTables>
    <pivotTable tabId="2" name="PivotTable16"/>
  </pivotTables>
  <data>
    <olap pivotCacheId="886820007">
      <levels count="2">
        <level uniqueName="[Table1].[City].[(All)]" sourceCaption="(All)" count="0"/>
        <level uniqueName="[Table1].[City].[City]" sourceCaption="City" count="5">
          <ranges>
            <range startItem="0">
              <i n="[Table1].[City].&amp;[Bangalore]" c="Bangalore"/>
              <i n="[Table1].[City].&amp;[Chennai]" c="Chennai"/>
              <i n="[Table1].[City].&amp;[Delhi]" c="Delhi"/>
              <i n="[Table1].[City].&amp;[Hyderabad]" c="Hyderabad"/>
              <i n="[Table1].[City].&amp;[Mumbai]" c="Mumbai"/>
            </range>
          </ranges>
        </level>
      </levels>
      <selections count="1">
        <selection n="[Table1].[City].&amp;[Bangalor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AB78574C-10E2-47FF-AA5C-D5607FF8E29A}" sourceName="[Table1].[Education_Level]">
  <pivotTables>
    <pivotTable tabId="2" name="PivotTable16"/>
  </pivotTables>
  <data>
    <olap pivotCacheId="886820007">
      <levels count="2">
        <level uniqueName="[Table1].[Education_Level].[(All)]" sourceCaption="(All)" count="0"/>
        <level uniqueName="[Table1].[Education_Level].[Education_Level]" sourceCaption="Education_Level" count="4">
          <ranges>
            <range startItem="0">
              <i n="[Table1].[Education_Level].&amp;[Bachelor]" c="Bachelor"/>
              <i n="[Table1].[Education_Level].&amp;[High School]" c="High School"/>
              <i n="[Table1].[Education_Level].&amp;[PhD]" c="PhD"/>
              <i n="[Table1].[Education_Level].&amp;[Master]" c="Master" nd="1"/>
            </range>
          </ranges>
        </level>
      </levels>
      <selections count="1">
        <selection n="[Table1].[Education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361F785-7FB0-47E9-B6A2-4419DCA3A4B3}" cache="Slicer_Department" caption="Department" level="1" style="SlicerStyleLight6" rowHeight="234950"/>
  <slicer name="Gender" xr10:uid="{D8783E92-94EB-4649-A015-32FA75DBAB75}" cache="Slicer_Gender" caption="Gender" level="1" style="SlicerStyleLight6" rowHeight="234950"/>
  <slicer name="City" xr10:uid="{75030610-8459-4A15-BB8E-6AE5461370D0}" cache="Slicer_City" caption="City" level="1" style="SlicerStyleLight6" rowHeight="234950"/>
  <slicer name="Education_Level" xr10:uid="{F872557F-4CE9-4974-B3EA-8845C6A9B799}" cache="Slicer_Education_Level" caption="Education_Level" level="1"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8ED4E1-CFD9-4A36-BFE3-06751119B4A9}" name="Table1" displayName="Table1" ref="A1:I51" totalsRowShown="0">
  <autoFilter ref="A1:I51" xr:uid="{738ED4E1-CFD9-4A36-BFE3-06751119B4A9}"/>
  <tableColumns count="9">
    <tableColumn id="1" xr3:uid="{AF5CA247-52FF-43E2-B2C3-8F57DD36AE1E}" name="EmployeeID"/>
    <tableColumn id="2" xr3:uid="{53724896-3DC3-4A19-B45A-E9B5B0492DFF}" name="Name"/>
    <tableColumn id="3" xr3:uid="{EBA2EFC3-958F-45FA-B8DD-DA0494BE7845}" name="Department"/>
    <tableColumn id="4" xr3:uid="{31ADE872-BCBF-4BE3-8F00-18BC30A9DE44}" name="Experience_Years"/>
    <tableColumn id="5" xr3:uid="{CDEDE60F-F4C4-4CB8-A80D-E1215A563DF0}" name="Education_Level"/>
    <tableColumn id="6" xr3:uid="{2B4D398E-AD0F-46E0-B9F9-0A5F6CF1BF8B}" name="Age"/>
    <tableColumn id="7" xr3:uid="{B462DCC6-AA0E-44AA-9C0F-859AEA624728}" name="Gender"/>
    <tableColumn id="8" xr3:uid="{F800434E-7AD8-49D2-A84F-D4AEC2C2B347}" name="City"/>
    <tableColumn id="9" xr3:uid="{53E8EAD3-4D63-4D5C-B350-5066C6ED6E8E}" name="Monthly_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F7382-390C-40BF-8C17-21AAC38C4781}">
  <dimension ref="A1:L51"/>
  <sheetViews>
    <sheetView zoomScale="85" zoomScaleNormal="85" workbookViewId="0">
      <selection activeCell="F20" sqref="F20"/>
    </sheetView>
  </sheetViews>
  <sheetFormatPr defaultRowHeight="14.4" x14ac:dyDescent="0.3"/>
  <cols>
    <col min="1" max="1" width="14.109375" bestFit="1" customWidth="1"/>
    <col min="2" max="2" width="12.21875" customWidth="1"/>
    <col min="3" max="3" width="14.33203125" bestFit="1" customWidth="1"/>
    <col min="4" max="4" width="19.109375" bestFit="1" customWidth="1"/>
    <col min="5" max="5" width="18.33203125" bestFit="1" customWidth="1"/>
    <col min="7" max="7" width="10" bestFit="1" customWidth="1"/>
    <col min="8" max="8" width="11.21875" customWidth="1"/>
    <col min="9" max="9" width="17.88671875" bestFit="1" customWidth="1"/>
    <col min="12" max="17" width="16.44140625" bestFit="1" customWidth="1"/>
    <col min="18" max="19" width="11.44140625" bestFit="1" customWidth="1"/>
  </cols>
  <sheetData>
    <row r="1" spans="1:12" x14ac:dyDescent="0.3">
      <c r="A1" t="s">
        <v>0</v>
      </c>
      <c r="B1" t="s">
        <v>1</v>
      </c>
      <c r="C1" t="s">
        <v>2</v>
      </c>
      <c r="D1" t="s">
        <v>3</v>
      </c>
      <c r="E1" t="s">
        <v>4</v>
      </c>
      <c r="F1" t="s">
        <v>5</v>
      </c>
      <c r="G1" t="s">
        <v>6</v>
      </c>
      <c r="H1" t="s">
        <v>7</v>
      </c>
      <c r="I1" t="s">
        <v>8</v>
      </c>
    </row>
    <row r="2" spans="1:12" x14ac:dyDescent="0.3">
      <c r="A2">
        <v>1</v>
      </c>
      <c r="B2" t="s">
        <v>9</v>
      </c>
      <c r="C2" t="s">
        <v>10</v>
      </c>
      <c r="D2">
        <v>15</v>
      </c>
      <c r="E2" t="s">
        <v>11</v>
      </c>
      <c r="F2">
        <v>53</v>
      </c>
      <c r="G2" t="s">
        <v>12</v>
      </c>
      <c r="H2" t="s">
        <v>13</v>
      </c>
      <c r="I2">
        <v>111416</v>
      </c>
    </row>
    <row r="3" spans="1:12" x14ac:dyDescent="0.3">
      <c r="A3">
        <v>2</v>
      </c>
      <c r="B3" t="s">
        <v>14</v>
      </c>
      <c r="C3" t="s">
        <v>15</v>
      </c>
      <c r="D3">
        <v>7</v>
      </c>
      <c r="E3" t="s">
        <v>16</v>
      </c>
      <c r="F3">
        <v>25</v>
      </c>
      <c r="G3" t="s">
        <v>12</v>
      </c>
      <c r="H3" t="s">
        <v>17</v>
      </c>
      <c r="I3">
        <v>95271</v>
      </c>
    </row>
    <row r="4" spans="1:12" x14ac:dyDescent="0.3">
      <c r="A4">
        <v>3</v>
      </c>
      <c r="B4" t="s">
        <v>18</v>
      </c>
      <c r="C4" t="s">
        <v>19</v>
      </c>
      <c r="D4">
        <v>12</v>
      </c>
      <c r="E4" t="s">
        <v>20</v>
      </c>
      <c r="F4">
        <v>51</v>
      </c>
      <c r="G4" t="s">
        <v>12</v>
      </c>
      <c r="H4" t="s">
        <v>21</v>
      </c>
      <c r="I4">
        <v>69064</v>
      </c>
    </row>
    <row r="5" spans="1:12" x14ac:dyDescent="0.3">
      <c r="A5">
        <v>4</v>
      </c>
      <c r="B5" t="s">
        <v>22</v>
      </c>
      <c r="C5" t="s">
        <v>15</v>
      </c>
      <c r="D5">
        <v>8</v>
      </c>
      <c r="E5" t="s">
        <v>23</v>
      </c>
      <c r="F5">
        <v>44</v>
      </c>
      <c r="G5" t="s">
        <v>24</v>
      </c>
      <c r="H5" t="s">
        <v>13</v>
      </c>
      <c r="I5">
        <v>95091</v>
      </c>
      <c r="L5" s="5"/>
    </row>
    <row r="6" spans="1:12" x14ac:dyDescent="0.3">
      <c r="A6">
        <v>5</v>
      </c>
      <c r="B6" t="s">
        <v>25</v>
      </c>
      <c r="C6" t="s">
        <v>15</v>
      </c>
      <c r="D6">
        <v>15</v>
      </c>
      <c r="E6" t="s">
        <v>11</v>
      </c>
      <c r="F6">
        <v>36</v>
      </c>
      <c r="G6" t="s">
        <v>12</v>
      </c>
      <c r="H6" t="s">
        <v>13</v>
      </c>
      <c r="I6">
        <v>132450</v>
      </c>
    </row>
    <row r="7" spans="1:12" x14ac:dyDescent="0.3">
      <c r="A7">
        <v>6</v>
      </c>
      <c r="B7" t="s">
        <v>26</v>
      </c>
      <c r="C7" t="s">
        <v>27</v>
      </c>
      <c r="D7">
        <v>3</v>
      </c>
      <c r="E7" t="s">
        <v>20</v>
      </c>
      <c r="F7">
        <v>50</v>
      </c>
      <c r="G7" t="s">
        <v>24</v>
      </c>
      <c r="H7" t="s">
        <v>28</v>
      </c>
      <c r="I7">
        <v>65818</v>
      </c>
    </row>
    <row r="8" spans="1:12" x14ac:dyDescent="0.3">
      <c r="A8">
        <v>7</v>
      </c>
      <c r="B8" t="s">
        <v>29</v>
      </c>
      <c r="C8" t="s">
        <v>19</v>
      </c>
      <c r="D8">
        <v>14</v>
      </c>
      <c r="E8" t="s">
        <v>23</v>
      </c>
      <c r="F8">
        <v>57</v>
      </c>
      <c r="G8" t="s">
        <v>24</v>
      </c>
      <c r="H8" t="s">
        <v>28</v>
      </c>
      <c r="I8">
        <v>70525</v>
      </c>
    </row>
    <row r="9" spans="1:12" x14ac:dyDescent="0.3">
      <c r="A9">
        <v>8</v>
      </c>
      <c r="B9" t="s">
        <v>30</v>
      </c>
      <c r="C9" t="s">
        <v>19</v>
      </c>
      <c r="D9">
        <v>17</v>
      </c>
      <c r="E9" t="s">
        <v>23</v>
      </c>
      <c r="F9">
        <v>34</v>
      </c>
      <c r="G9" t="s">
        <v>12</v>
      </c>
      <c r="H9" t="s">
        <v>17</v>
      </c>
      <c r="I9">
        <v>44830</v>
      </c>
    </row>
    <row r="10" spans="1:12" x14ac:dyDescent="0.3">
      <c r="A10">
        <v>9</v>
      </c>
      <c r="B10" t="s">
        <v>31</v>
      </c>
      <c r="C10" t="s">
        <v>19</v>
      </c>
      <c r="D10">
        <v>4</v>
      </c>
      <c r="E10" t="s">
        <v>16</v>
      </c>
      <c r="F10">
        <v>53</v>
      </c>
      <c r="G10" t="s">
        <v>24</v>
      </c>
      <c r="H10" t="s">
        <v>21</v>
      </c>
      <c r="I10">
        <v>42429</v>
      </c>
    </row>
    <row r="11" spans="1:12" x14ac:dyDescent="0.3">
      <c r="A11">
        <v>10</v>
      </c>
      <c r="B11" t="s">
        <v>32</v>
      </c>
      <c r="C11" t="s">
        <v>15</v>
      </c>
      <c r="D11">
        <v>18</v>
      </c>
      <c r="E11" t="s">
        <v>20</v>
      </c>
      <c r="F11">
        <v>28</v>
      </c>
      <c r="G11" t="s">
        <v>24</v>
      </c>
      <c r="H11" t="s">
        <v>28</v>
      </c>
      <c r="I11">
        <v>31893</v>
      </c>
    </row>
    <row r="12" spans="1:12" x14ac:dyDescent="0.3">
      <c r="A12">
        <v>11</v>
      </c>
      <c r="B12" t="s">
        <v>33</v>
      </c>
      <c r="C12" t="s">
        <v>10</v>
      </c>
      <c r="D12">
        <v>8</v>
      </c>
      <c r="E12" t="s">
        <v>23</v>
      </c>
      <c r="F12">
        <v>43</v>
      </c>
      <c r="G12" t="s">
        <v>24</v>
      </c>
      <c r="H12" t="s">
        <v>13</v>
      </c>
      <c r="I12">
        <v>141381</v>
      </c>
    </row>
    <row r="13" spans="1:12" x14ac:dyDescent="0.3">
      <c r="A13">
        <v>12</v>
      </c>
      <c r="B13" t="s">
        <v>34</v>
      </c>
      <c r="C13" t="s">
        <v>19</v>
      </c>
      <c r="D13">
        <v>4</v>
      </c>
      <c r="E13" t="s">
        <v>11</v>
      </c>
      <c r="F13">
        <v>49</v>
      </c>
      <c r="G13" t="s">
        <v>12</v>
      </c>
      <c r="H13" t="s">
        <v>21</v>
      </c>
      <c r="I13">
        <v>104909</v>
      </c>
    </row>
    <row r="14" spans="1:12" x14ac:dyDescent="0.3">
      <c r="A14">
        <v>13</v>
      </c>
      <c r="B14" t="s">
        <v>35</v>
      </c>
      <c r="C14" t="s">
        <v>15</v>
      </c>
      <c r="D14">
        <v>2</v>
      </c>
      <c r="E14" t="s">
        <v>11</v>
      </c>
      <c r="F14">
        <v>23</v>
      </c>
      <c r="G14" t="s">
        <v>12</v>
      </c>
      <c r="H14" t="s">
        <v>21</v>
      </c>
      <c r="I14">
        <v>72333</v>
      </c>
    </row>
    <row r="15" spans="1:12" x14ac:dyDescent="0.3">
      <c r="A15">
        <v>14</v>
      </c>
      <c r="B15" t="s">
        <v>36</v>
      </c>
      <c r="C15" t="s">
        <v>27</v>
      </c>
      <c r="D15">
        <v>6</v>
      </c>
      <c r="E15" t="s">
        <v>16</v>
      </c>
      <c r="F15">
        <v>27</v>
      </c>
      <c r="G15" t="s">
        <v>24</v>
      </c>
      <c r="H15" t="s">
        <v>13</v>
      </c>
      <c r="I15">
        <v>28436</v>
      </c>
    </row>
    <row r="16" spans="1:12" x14ac:dyDescent="0.3">
      <c r="A16">
        <v>15</v>
      </c>
      <c r="B16" t="s">
        <v>37</v>
      </c>
      <c r="C16" t="s">
        <v>10</v>
      </c>
      <c r="D16">
        <v>10</v>
      </c>
      <c r="E16" t="s">
        <v>23</v>
      </c>
      <c r="F16">
        <v>49</v>
      </c>
      <c r="G16" t="s">
        <v>12</v>
      </c>
      <c r="H16" t="s">
        <v>28</v>
      </c>
      <c r="I16">
        <v>99290</v>
      </c>
    </row>
    <row r="17" spans="1:9" x14ac:dyDescent="0.3">
      <c r="A17">
        <v>16</v>
      </c>
      <c r="B17" t="s">
        <v>38</v>
      </c>
      <c r="C17" t="s">
        <v>27</v>
      </c>
      <c r="D17">
        <v>4</v>
      </c>
      <c r="E17" t="s">
        <v>20</v>
      </c>
      <c r="F17">
        <v>49</v>
      </c>
      <c r="G17" t="s">
        <v>12</v>
      </c>
      <c r="H17" t="s">
        <v>13</v>
      </c>
      <c r="I17">
        <v>101213</v>
      </c>
    </row>
    <row r="18" spans="1:9" x14ac:dyDescent="0.3">
      <c r="A18">
        <v>17</v>
      </c>
      <c r="B18" t="s">
        <v>39</v>
      </c>
      <c r="C18" t="s">
        <v>10</v>
      </c>
      <c r="D18">
        <v>18</v>
      </c>
      <c r="E18" t="s">
        <v>11</v>
      </c>
      <c r="F18">
        <v>41</v>
      </c>
      <c r="G18" t="s">
        <v>12</v>
      </c>
      <c r="H18" t="s">
        <v>21</v>
      </c>
      <c r="I18">
        <v>30895</v>
      </c>
    </row>
    <row r="19" spans="1:9" x14ac:dyDescent="0.3">
      <c r="A19">
        <v>18</v>
      </c>
      <c r="B19" t="s">
        <v>40</v>
      </c>
      <c r="C19" t="s">
        <v>15</v>
      </c>
      <c r="D19">
        <v>12</v>
      </c>
      <c r="E19" t="s">
        <v>23</v>
      </c>
      <c r="F19">
        <v>51</v>
      </c>
      <c r="G19" t="s">
        <v>12</v>
      </c>
      <c r="H19" t="s">
        <v>41</v>
      </c>
      <c r="I19">
        <v>44738</v>
      </c>
    </row>
    <row r="20" spans="1:9" x14ac:dyDescent="0.3">
      <c r="A20">
        <v>19</v>
      </c>
      <c r="B20" t="s">
        <v>42</v>
      </c>
      <c r="C20" t="s">
        <v>43</v>
      </c>
      <c r="D20">
        <v>2</v>
      </c>
      <c r="E20" t="s">
        <v>23</v>
      </c>
      <c r="F20">
        <v>32</v>
      </c>
      <c r="G20" t="s">
        <v>24</v>
      </c>
      <c r="H20" t="s">
        <v>41</v>
      </c>
      <c r="I20">
        <v>55746</v>
      </c>
    </row>
    <row r="21" spans="1:9" x14ac:dyDescent="0.3">
      <c r="A21">
        <v>20</v>
      </c>
      <c r="B21" t="s">
        <v>44</v>
      </c>
      <c r="C21" t="s">
        <v>10</v>
      </c>
      <c r="D21">
        <v>10</v>
      </c>
      <c r="E21" t="s">
        <v>16</v>
      </c>
      <c r="F21">
        <v>49</v>
      </c>
      <c r="G21" t="s">
        <v>24</v>
      </c>
      <c r="H21" t="s">
        <v>17</v>
      </c>
      <c r="I21">
        <v>74377</v>
      </c>
    </row>
    <row r="22" spans="1:9" x14ac:dyDescent="0.3">
      <c r="A22">
        <v>21</v>
      </c>
      <c r="B22" t="s">
        <v>45</v>
      </c>
      <c r="C22" t="s">
        <v>27</v>
      </c>
      <c r="D22">
        <v>4</v>
      </c>
      <c r="E22" t="s">
        <v>11</v>
      </c>
      <c r="F22">
        <v>46</v>
      </c>
      <c r="G22" t="s">
        <v>12</v>
      </c>
      <c r="H22" t="s">
        <v>13</v>
      </c>
      <c r="I22">
        <v>73404</v>
      </c>
    </row>
    <row r="23" spans="1:9" x14ac:dyDescent="0.3">
      <c r="A23">
        <v>22</v>
      </c>
      <c r="B23" t="s">
        <v>46</v>
      </c>
      <c r="C23" t="s">
        <v>15</v>
      </c>
      <c r="D23">
        <v>14</v>
      </c>
      <c r="E23" t="s">
        <v>11</v>
      </c>
      <c r="F23">
        <v>54</v>
      </c>
      <c r="G23" t="s">
        <v>12</v>
      </c>
      <c r="H23" t="s">
        <v>13</v>
      </c>
      <c r="I23">
        <v>79045</v>
      </c>
    </row>
    <row r="24" spans="1:9" x14ac:dyDescent="0.3">
      <c r="A24">
        <v>23</v>
      </c>
      <c r="B24" t="s">
        <v>47</v>
      </c>
      <c r="C24" t="s">
        <v>10</v>
      </c>
      <c r="D24">
        <v>16</v>
      </c>
      <c r="E24" t="s">
        <v>20</v>
      </c>
      <c r="F24">
        <v>22</v>
      </c>
      <c r="G24" t="s">
        <v>24</v>
      </c>
      <c r="H24" t="s">
        <v>17</v>
      </c>
      <c r="I24">
        <v>122888</v>
      </c>
    </row>
    <row r="25" spans="1:9" x14ac:dyDescent="0.3">
      <c r="A25">
        <v>24</v>
      </c>
      <c r="B25" t="s">
        <v>48</v>
      </c>
      <c r="C25" t="s">
        <v>43</v>
      </c>
      <c r="D25">
        <v>15</v>
      </c>
      <c r="E25" t="s">
        <v>11</v>
      </c>
      <c r="F25">
        <v>48</v>
      </c>
      <c r="G25" t="s">
        <v>24</v>
      </c>
      <c r="H25" t="s">
        <v>17</v>
      </c>
      <c r="I25">
        <v>64790</v>
      </c>
    </row>
    <row r="26" spans="1:9" x14ac:dyDescent="0.3">
      <c r="A26">
        <v>25</v>
      </c>
      <c r="B26" t="s">
        <v>49</v>
      </c>
      <c r="C26" t="s">
        <v>43</v>
      </c>
      <c r="D26">
        <v>8</v>
      </c>
      <c r="E26" t="s">
        <v>20</v>
      </c>
      <c r="F26">
        <v>34</v>
      </c>
      <c r="G26" t="s">
        <v>12</v>
      </c>
      <c r="H26" t="s">
        <v>17</v>
      </c>
      <c r="I26">
        <v>132455</v>
      </c>
    </row>
    <row r="27" spans="1:9" x14ac:dyDescent="0.3">
      <c r="A27">
        <v>26</v>
      </c>
      <c r="B27" t="s">
        <v>50</v>
      </c>
      <c r="C27" t="s">
        <v>19</v>
      </c>
      <c r="D27">
        <v>14</v>
      </c>
      <c r="E27" t="s">
        <v>11</v>
      </c>
      <c r="F27">
        <v>24</v>
      </c>
      <c r="G27" t="s">
        <v>24</v>
      </c>
      <c r="H27" t="s">
        <v>21</v>
      </c>
      <c r="I27">
        <v>30600</v>
      </c>
    </row>
    <row r="28" spans="1:9" x14ac:dyDescent="0.3">
      <c r="A28">
        <v>27</v>
      </c>
      <c r="B28" t="s">
        <v>51</v>
      </c>
      <c r="C28" t="s">
        <v>19</v>
      </c>
      <c r="D28">
        <v>8</v>
      </c>
      <c r="E28" t="s">
        <v>16</v>
      </c>
      <c r="F28">
        <v>27</v>
      </c>
      <c r="G28" t="s">
        <v>12</v>
      </c>
      <c r="H28" t="s">
        <v>13</v>
      </c>
      <c r="I28">
        <v>119660</v>
      </c>
    </row>
    <row r="29" spans="1:9" x14ac:dyDescent="0.3">
      <c r="A29">
        <v>28</v>
      </c>
      <c r="B29" t="s">
        <v>52</v>
      </c>
      <c r="C29" t="s">
        <v>27</v>
      </c>
      <c r="D29">
        <v>16</v>
      </c>
      <c r="E29" t="s">
        <v>11</v>
      </c>
      <c r="F29">
        <v>29</v>
      </c>
      <c r="G29" t="s">
        <v>12</v>
      </c>
      <c r="H29" t="s">
        <v>21</v>
      </c>
      <c r="I29">
        <v>118179</v>
      </c>
    </row>
    <row r="30" spans="1:9" x14ac:dyDescent="0.3">
      <c r="A30">
        <v>29</v>
      </c>
      <c r="B30" t="s">
        <v>53</v>
      </c>
      <c r="C30" t="s">
        <v>10</v>
      </c>
      <c r="D30">
        <v>13</v>
      </c>
      <c r="E30" t="s">
        <v>20</v>
      </c>
      <c r="F30">
        <v>48</v>
      </c>
      <c r="G30" t="s">
        <v>24</v>
      </c>
      <c r="H30" t="s">
        <v>17</v>
      </c>
      <c r="I30">
        <v>65764</v>
      </c>
    </row>
    <row r="31" spans="1:9" x14ac:dyDescent="0.3">
      <c r="A31">
        <v>30</v>
      </c>
      <c r="B31" t="s">
        <v>54</v>
      </c>
      <c r="C31" t="s">
        <v>10</v>
      </c>
      <c r="D31">
        <v>18</v>
      </c>
      <c r="E31" t="s">
        <v>20</v>
      </c>
      <c r="F31">
        <v>30</v>
      </c>
      <c r="G31" t="s">
        <v>24</v>
      </c>
      <c r="H31" t="s">
        <v>13</v>
      </c>
      <c r="I31">
        <v>99543</v>
      </c>
    </row>
    <row r="32" spans="1:9" x14ac:dyDescent="0.3">
      <c r="A32">
        <v>31</v>
      </c>
      <c r="B32" t="s">
        <v>55</v>
      </c>
      <c r="C32" t="s">
        <v>19</v>
      </c>
      <c r="D32">
        <v>15</v>
      </c>
      <c r="E32" t="s">
        <v>16</v>
      </c>
      <c r="F32">
        <v>54</v>
      </c>
      <c r="G32" t="s">
        <v>12</v>
      </c>
      <c r="H32" t="s">
        <v>21</v>
      </c>
      <c r="I32">
        <v>70714</v>
      </c>
    </row>
    <row r="33" spans="1:9" x14ac:dyDescent="0.3">
      <c r="A33">
        <v>32</v>
      </c>
      <c r="B33" t="s">
        <v>56</v>
      </c>
      <c r="C33" t="s">
        <v>10</v>
      </c>
      <c r="D33">
        <v>13</v>
      </c>
      <c r="E33" t="s">
        <v>11</v>
      </c>
      <c r="F33">
        <v>45</v>
      </c>
      <c r="G33" t="s">
        <v>12</v>
      </c>
      <c r="H33" t="s">
        <v>21</v>
      </c>
      <c r="I33">
        <v>81835</v>
      </c>
    </row>
    <row r="34" spans="1:9" x14ac:dyDescent="0.3">
      <c r="A34">
        <v>33</v>
      </c>
      <c r="B34" t="s">
        <v>57</v>
      </c>
      <c r="C34" t="s">
        <v>10</v>
      </c>
      <c r="D34">
        <v>9</v>
      </c>
      <c r="E34" t="s">
        <v>11</v>
      </c>
      <c r="F34">
        <v>36</v>
      </c>
      <c r="G34" t="s">
        <v>24</v>
      </c>
      <c r="H34" t="s">
        <v>17</v>
      </c>
      <c r="I34">
        <v>127946</v>
      </c>
    </row>
    <row r="35" spans="1:9" x14ac:dyDescent="0.3">
      <c r="A35">
        <v>34</v>
      </c>
      <c r="B35" t="s">
        <v>58</v>
      </c>
      <c r="C35" t="s">
        <v>43</v>
      </c>
      <c r="D35">
        <v>15</v>
      </c>
      <c r="E35" t="s">
        <v>16</v>
      </c>
      <c r="F35">
        <v>53</v>
      </c>
      <c r="G35" t="s">
        <v>12</v>
      </c>
      <c r="H35" t="s">
        <v>13</v>
      </c>
      <c r="I35">
        <v>134616</v>
      </c>
    </row>
    <row r="36" spans="1:9" x14ac:dyDescent="0.3">
      <c r="A36">
        <v>35</v>
      </c>
      <c r="B36" t="s">
        <v>59</v>
      </c>
      <c r="C36" t="s">
        <v>19</v>
      </c>
      <c r="D36">
        <v>13</v>
      </c>
      <c r="E36" t="s">
        <v>11</v>
      </c>
      <c r="F36">
        <v>53</v>
      </c>
      <c r="G36" t="s">
        <v>24</v>
      </c>
      <c r="H36" t="s">
        <v>17</v>
      </c>
      <c r="I36">
        <v>130983</v>
      </c>
    </row>
    <row r="37" spans="1:9" x14ac:dyDescent="0.3">
      <c r="A37">
        <v>36</v>
      </c>
      <c r="B37" t="s">
        <v>60</v>
      </c>
      <c r="C37" t="s">
        <v>15</v>
      </c>
      <c r="D37">
        <v>1</v>
      </c>
      <c r="E37" t="s">
        <v>11</v>
      </c>
      <c r="F37">
        <v>45</v>
      </c>
      <c r="G37" t="s">
        <v>12</v>
      </c>
      <c r="H37" t="s">
        <v>13</v>
      </c>
      <c r="I37">
        <v>98744</v>
      </c>
    </row>
    <row r="38" spans="1:9" x14ac:dyDescent="0.3">
      <c r="A38">
        <v>37</v>
      </c>
      <c r="B38" t="s">
        <v>61</v>
      </c>
      <c r="C38" t="s">
        <v>19</v>
      </c>
      <c r="D38">
        <v>7</v>
      </c>
      <c r="E38" t="s">
        <v>20</v>
      </c>
      <c r="F38">
        <v>33</v>
      </c>
      <c r="G38" t="s">
        <v>24</v>
      </c>
      <c r="H38" t="s">
        <v>41</v>
      </c>
      <c r="I38">
        <v>81491</v>
      </c>
    </row>
    <row r="39" spans="1:9" x14ac:dyDescent="0.3">
      <c r="A39">
        <v>38</v>
      </c>
      <c r="B39" t="s">
        <v>62</v>
      </c>
      <c r="C39" t="s">
        <v>15</v>
      </c>
      <c r="D39">
        <v>9</v>
      </c>
      <c r="E39" t="s">
        <v>11</v>
      </c>
      <c r="F39">
        <v>23</v>
      </c>
      <c r="G39" t="s">
        <v>24</v>
      </c>
      <c r="H39" t="s">
        <v>28</v>
      </c>
      <c r="I39">
        <v>149123</v>
      </c>
    </row>
    <row r="40" spans="1:9" x14ac:dyDescent="0.3">
      <c r="A40">
        <v>39</v>
      </c>
      <c r="B40" t="s">
        <v>63</v>
      </c>
      <c r="C40" t="s">
        <v>43</v>
      </c>
      <c r="D40">
        <v>1</v>
      </c>
      <c r="E40" t="s">
        <v>11</v>
      </c>
      <c r="F40">
        <v>24</v>
      </c>
      <c r="G40" t="s">
        <v>24</v>
      </c>
      <c r="H40" t="s">
        <v>28</v>
      </c>
      <c r="I40">
        <v>43589</v>
      </c>
    </row>
    <row r="41" spans="1:9" x14ac:dyDescent="0.3">
      <c r="A41">
        <v>40</v>
      </c>
      <c r="B41" t="s">
        <v>64</v>
      </c>
      <c r="C41" t="s">
        <v>27</v>
      </c>
      <c r="D41">
        <v>12</v>
      </c>
      <c r="E41" t="s">
        <v>16</v>
      </c>
      <c r="F41">
        <v>38</v>
      </c>
      <c r="G41" t="s">
        <v>12</v>
      </c>
      <c r="H41" t="s">
        <v>28</v>
      </c>
      <c r="I41">
        <v>68484</v>
      </c>
    </row>
    <row r="42" spans="1:9" x14ac:dyDescent="0.3">
      <c r="A42">
        <v>41</v>
      </c>
      <c r="B42" t="s">
        <v>65</v>
      </c>
      <c r="C42" t="s">
        <v>10</v>
      </c>
      <c r="D42">
        <v>8</v>
      </c>
      <c r="E42" t="s">
        <v>16</v>
      </c>
      <c r="F42">
        <v>23</v>
      </c>
      <c r="G42" t="s">
        <v>12</v>
      </c>
      <c r="H42" t="s">
        <v>17</v>
      </c>
      <c r="I42">
        <v>107989</v>
      </c>
    </row>
    <row r="43" spans="1:9" x14ac:dyDescent="0.3">
      <c r="A43">
        <v>42</v>
      </c>
      <c r="B43" t="s">
        <v>66</v>
      </c>
      <c r="C43" t="s">
        <v>43</v>
      </c>
      <c r="D43">
        <v>11</v>
      </c>
      <c r="E43" t="s">
        <v>23</v>
      </c>
      <c r="F43">
        <v>23</v>
      </c>
      <c r="G43" t="s">
        <v>24</v>
      </c>
      <c r="H43" t="s">
        <v>41</v>
      </c>
      <c r="I43">
        <v>61212</v>
      </c>
    </row>
    <row r="44" spans="1:9" x14ac:dyDescent="0.3">
      <c r="A44">
        <v>43</v>
      </c>
      <c r="B44" t="s">
        <v>67</v>
      </c>
      <c r="C44" t="s">
        <v>10</v>
      </c>
      <c r="D44">
        <v>19</v>
      </c>
      <c r="E44" t="s">
        <v>20</v>
      </c>
      <c r="F44">
        <v>49</v>
      </c>
      <c r="G44" t="s">
        <v>12</v>
      </c>
      <c r="H44" t="s">
        <v>13</v>
      </c>
      <c r="I44">
        <v>68525</v>
      </c>
    </row>
    <row r="45" spans="1:9" x14ac:dyDescent="0.3">
      <c r="A45">
        <v>44</v>
      </c>
      <c r="B45" t="s">
        <v>68</v>
      </c>
      <c r="C45" t="s">
        <v>27</v>
      </c>
      <c r="D45">
        <v>17</v>
      </c>
      <c r="E45" t="s">
        <v>11</v>
      </c>
      <c r="F45">
        <v>44</v>
      </c>
      <c r="G45" t="s">
        <v>24</v>
      </c>
      <c r="H45" t="s">
        <v>21</v>
      </c>
      <c r="I45">
        <v>72202</v>
      </c>
    </row>
    <row r="46" spans="1:9" x14ac:dyDescent="0.3">
      <c r="A46">
        <v>45</v>
      </c>
      <c r="B46" t="s">
        <v>69</v>
      </c>
      <c r="C46" t="s">
        <v>27</v>
      </c>
      <c r="D46">
        <v>8</v>
      </c>
      <c r="E46" t="s">
        <v>11</v>
      </c>
      <c r="F46">
        <v>53</v>
      </c>
      <c r="G46" t="s">
        <v>24</v>
      </c>
      <c r="H46" t="s">
        <v>13</v>
      </c>
      <c r="I46">
        <v>57635</v>
      </c>
    </row>
    <row r="47" spans="1:9" x14ac:dyDescent="0.3">
      <c r="A47">
        <v>46</v>
      </c>
      <c r="B47" t="s">
        <v>70</v>
      </c>
      <c r="C47" t="s">
        <v>43</v>
      </c>
      <c r="D47">
        <v>3</v>
      </c>
      <c r="E47" t="s">
        <v>23</v>
      </c>
      <c r="F47">
        <v>54</v>
      </c>
      <c r="G47" t="s">
        <v>12</v>
      </c>
      <c r="H47" t="s">
        <v>21</v>
      </c>
      <c r="I47">
        <v>88208</v>
      </c>
    </row>
    <row r="48" spans="1:9" x14ac:dyDescent="0.3">
      <c r="A48">
        <v>47</v>
      </c>
      <c r="B48" t="s">
        <v>71</v>
      </c>
      <c r="C48" t="s">
        <v>27</v>
      </c>
      <c r="D48">
        <v>3</v>
      </c>
      <c r="E48" t="s">
        <v>11</v>
      </c>
      <c r="F48">
        <v>22</v>
      </c>
      <c r="G48" t="s">
        <v>12</v>
      </c>
      <c r="H48" t="s">
        <v>13</v>
      </c>
      <c r="I48">
        <v>58828</v>
      </c>
    </row>
    <row r="49" spans="1:9" x14ac:dyDescent="0.3">
      <c r="A49">
        <v>48</v>
      </c>
      <c r="B49" t="s">
        <v>72</v>
      </c>
      <c r="C49" t="s">
        <v>15</v>
      </c>
      <c r="D49">
        <v>1</v>
      </c>
      <c r="E49" t="s">
        <v>20</v>
      </c>
      <c r="F49">
        <v>40</v>
      </c>
      <c r="G49" t="s">
        <v>24</v>
      </c>
      <c r="H49" t="s">
        <v>41</v>
      </c>
      <c r="I49">
        <v>43711</v>
      </c>
    </row>
    <row r="50" spans="1:9" x14ac:dyDescent="0.3">
      <c r="A50">
        <v>49</v>
      </c>
      <c r="B50" t="s">
        <v>73</v>
      </c>
      <c r="C50" t="s">
        <v>27</v>
      </c>
      <c r="D50">
        <v>5</v>
      </c>
      <c r="E50" t="s">
        <v>23</v>
      </c>
      <c r="F50">
        <v>23</v>
      </c>
      <c r="G50" t="s">
        <v>12</v>
      </c>
      <c r="H50" t="s">
        <v>21</v>
      </c>
      <c r="I50">
        <v>28420</v>
      </c>
    </row>
    <row r="51" spans="1:9" x14ac:dyDescent="0.3">
      <c r="A51">
        <v>50</v>
      </c>
      <c r="B51" t="s">
        <v>74</v>
      </c>
      <c r="C51" t="s">
        <v>10</v>
      </c>
      <c r="D51">
        <v>10</v>
      </c>
      <c r="E51" t="s">
        <v>20</v>
      </c>
      <c r="F51">
        <v>47</v>
      </c>
      <c r="G51" t="s">
        <v>12</v>
      </c>
      <c r="H51" t="s">
        <v>17</v>
      </c>
      <c r="I51">
        <v>121752</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column" displayEmptyCellsAs="gap" high="1" xr2:uid="{E155B15E-60AC-4E8D-93B5-2909A7D01838}">
          <x14:colorSeries rgb="FF376092"/>
          <x14:colorNegative rgb="FFD00000"/>
          <x14:colorAxis rgb="FF000000"/>
          <x14:colorMarkers rgb="FFD00000"/>
          <x14:colorFirst rgb="FFD00000"/>
          <x14:colorLast rgb="FFD00000"/>
          <x14:colorHigh rgb="FFD00000"/>
          <x14:colorLow rgb="FFD00000"/>
          <x14:sparklines>
            <x14:sparkline>
              <xm:f>DATASET!B2:B51</xm:f>
              <xm:sqref>L5</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D7254-688E-43B2-9B43-7E7234379BCC}">
  <dimension ref="A1:I32"/>
  <sheetViews>
    <sheetView zoomScale="68" workbookViewId="0">
      <selection activeCell="F15" sqref="F15"/>
    </sheetView>
  </sheetViews>
  <sheetFormatPr defaultRowHeight="14.4" x14ac:dyDescent="0.3"/>
  <cols>
    <col min="1" max="2" width="12.5546875" bestFit="1" customWidth="1"/>
    <col min="3" max="3" width="19.109375" bestFit="1" customWidth="1"/>
    <col min="5" max="5" width="14.33203125" bestFit="1" customWidth="1"/>
    <col min="6" max="6" width="25.44140625" bestFit="1" customWidth="1"/>
    <col min="8" max="8" width="12.5546875" bestFit="1" customWidth="1"/>
    <col min="9" max="9" width="24.21875" bestFit="1" customWidth="1"/>
  </cols>
  <sheetData>
    <row r="1" spans="1:9" x14ac:dyDescent="0.3">
      <c r="A1" t="s">
        <v>75</v>
      </c>
      <c r="E1" t="s">
        <v>79</v>
      </c>
      <c r="H1" t="s">
        <v>80</v>
      </c>
    </row>
    <row r="2" spans="1:9" x14ac:dyDescent="0.3">
      <c r="A2" s="3" t="s">
        <v>76</v>
      </c>
      <c r="B2" t="s">
        <v>78</v>
      </c>
      <c r="E2" s="3" t="s">
        <v>76</v>
      </c>
      <c r="F2" t="s">
        <v>78</v>
      </c>
      <c r="H2" s="3" t="s">
        <v>76</v>
      </c>
      <c r="I2" t="s">
        <v>78</v>
      </c>
    </row>
    <row r="3" spans="1:9" x14ac:dyDescent="0.3">
      <c r="A3" s="2" t="s">
        <v>27</v>
      </c>
      <c r="B3">
        <v>10</v>
      </c>
      <c r="E3" s="2" t="s">
        <v>16</v>
      </c>
      <c r="F3">
        <v>9</v>
      </c>
      <c r="H3" s="2" t="s">
        <v>12</v>
      </c>
      <c r="I3">
        <v>27</v>
      </c>
    </row>
    <row r="4" spans="1:9" x14ac:dyDescent="0.3">
      <c r="A4" s="2" t="s">
        <v>43</v>
      </c>
      <c r="B4">
        <v>7</v>
      </c>
      <c r="E4" s="2" t="s">
        <v>20</v>
      </c>
      <c r="F4">
        <v>12</v>
      </c>
      <c r="H4" s="2" t="s">
        <v>24</v>
      </c>
      <c r="I4">
        <v>23</v>
      </c>
    </row>
    <row r="5" spans="1:9" x14ac:dyDescent="0.3">
      <c r="A5" s="2" t="s">
        <v>19</v>
      </c>
      <c r="B5">
        <v>10</v>
      </c>
      <c r="E5" s="2" t="s">
        <v>11</v>
      </c>
      <c r="F5">
        <v>19</v>
      </c>
      <c r="H5" s="2" t="s">
        <v>77</v>
      </c>
      <c r="I5">
        <v>50</v>
      </c>
    </row>
    <row r="6" spans="1:9" x14ac:dyDescent="0.3">
      <c r="A6" s="2" t="s">
        <v>10</v>
      </c>
      <c r="B6">
        <v>13</v>
      </c>
      <c r="E6" s="2" t="s">
        <v>23</v>
      </c>
      <c r="F6">
        <v>10</v>
      </c>
    </row>
    <row r="7" spans="1:9" x14ac:dyDescent="0.3">
      <c r="A7" s="2" t="s">
        <v>15</v>
      </c>
      <c r="B7">
        <v>10</v>
      </c>
      <c r="E7" s="2" t="s">
        <v>77</v>
      </c>
      <c r="F7">
        <v>50</v>
      </c>
    </row>
    <row r="8" spans="1:9" x14ac:dyDescent="0.3">
      <c r="A8" s="2" t="s">
        <v>77</v>
      </c>
      <c r="B8">
        <v>50</v>
      </c>
    </row>
    <row r="11" spans="1:9" x14ac:dyDescent="0.3">
      <c r="B11" t="s">
        <v>81</v>
      </c>
      <c r="E11" t="s">
        <v>82</v>
      </c>
      <c r="H11" t="s">
        <v>84</v>
      </c>
    </row>
    <row r="12" spans="1:9" x14ac:dyDescent="0.3">
      <c r="B12" s="3" t="s">
        <v>76</v>
      </c>
      <c r="C12" t="s">
        <v>78</v>
      </c>
      <c r="E12" s="3" t="s">
        <v>76</v>
      </c>
      <c r="F12" s="4" t="s">
        <v>83</v>
      </c>
      <c r="H12" s="3" t="s">
        <v>76</v>
      </c>
      <c r="I12" t="s">
        <v>83</v>
      </c>
    </row>
    <row r="13" spans="1:9" x14ac:dyDescent="0.3">
      <c r="B13" s="2" t="s">
        <v>17</v>
      </c>
      <c r="C13">
        <v>11</v>
      </c>
      <c r="E13" s="2" t="s">
        <v>43</v>
      </c>
      <c r="F13">
        <v>132455</v>
      </c>
      <c r="H13" s="2">
        <v>1</v>
      </c>
      <c r="I13">
        <v>62014.666666666664</v>
      </c>
    </row>
    <row r="14" spans="1:9" x14ac:dyDescent="0.3">
      <c r="B14" s="2" t="s">
        <v>41</v>
      </c>
      <c r="C14">
        <v>5</v>
      </c>
      <c r="E14" s="2" t="s">
        <v>19</v>
      </c>
      <c r="F14">
        <v>44830</v>
      </c>
      <c r="H14" s="2">
        <v>2</v>
      </c>
      <c r="I14">
        <v>64039.5</v>
      </c>
    </row>
    <row r="15" spans="1:9" x14ac:dyDescent="0.3">
      <c r="B15" s="2" t="s">
        <v>13</v>
      </c>
      <c r="C15">
        <v>15</v>
      </c>
      <c r="E15" s="2" t="s">
        <v>10</v>
      </c>
      <c r="F15">
        <v>114870.5</v>
      </c>
      <c r="H15" s="2">
        <v>3</v>
      </c>
      <c r="I15">
        <v>70951.333333333328</v>
      </c>
    </row>
    <row r="16" spans="1:9" x14ac:dyDescent="0.3">
      <c r="B16" s="2" t="s">
        <v>21</v>
      </c>
      <c r="C16">
        <v>12</v>
      </c>
      <c r="E16" s="2" t="s">
        <v>15</v>
      </c>
      <c r="F16">
        <v>95271</v>
      </c>
      <c r="H16" s="2">
        <v>4</v>
      </c>
      <c r="I16">
        <v>80488.75</v>
      </c>
    </row>
    <row r="17" spans="2:9" x14ac:dyDescent="0.3">
      <c r="B17" s="2" t="s">
        <v>28</v>
      </c>
      <c r="C17">
        <v>7</v>
      </c>
      <c r="E17" s="2" t="s">
        <v>77</v>
      </c>
      <c r="F17">
        <v>100459.4</v>
      </c>
      <c r="H17" s="2">
        <v>5</v>
      </c>
      <c r="I17">
        <v>28420</v>
      </c>
    </row>
    <row r="18" spans="2:9" x14ac:dyDescent="0.3">
      <c r="B18" s="2" t="s">
        <v>77</v>
      </c>
      <c r="C18">
        <v>50</v>
      </c>
      <c r="H18" s="2">
        <v>6</v>
      </c>
      <c r="I18">
        <v>28436</v>
      </c>
    </row>
    <row r="19" spans="2:9" x14ac:dyDescent="0.3">
      <c r="H19" s="2">
        <v>7</v>
      </c>
      <c r="I19">
        <v>88381</v>
      </c>
    </row>
    <row r="20" spans="2:9" x14ac:dyDescent="0.3">
      <c r="H20" s="2">
        <v>8</v>
      </c>
      <c r="I20">
        <v>109035.16666666667</v>
      </c>
    </row>
    <row r="21" spans="2:9" x14ac:dyDescent="0.3">
      <c r="H21" s="2">
        <v>9</v>
      </c>
      <c r="I21">
        <v>138534.5</v>
      </c>
    </row>
    <row r="22" spans="2:9" x14ac:dyDescent="0.3">
      <c r="H22" s="2">
        <v>10</v>
      </c>
      <c r="I22">
        <v>98473</v>
      </c>
    </row>
    <row r="23" spans="2:9" x14ac:dyDescent="0.3">
      <c r="H23" s="2">
        <v>11</v>
      </c>
      <c r="I23">
        <v>61212</v>
      </c>
    </row>
    <row r="24" spans="2:9" x14ac:dyDescent="0.3">
      <c r="H24" s="2">
        <v>12</v>
      </c>
      <c r="I24">
        <v>60762</v>
      </c>
    </row>
    <row r="25" spans="2:9" x14ac:dyDescent="0.3">
      <c r="H25" s="2">
        <v>13</v>
      </c>
      <c r="I25">
        <v>92860.666666666672</v>
      </c>
    </row>
    <row r="26" spans="2:9" x14ac:dyDescent="0.3">
      <c r="H26" s="2">
        <v>14</v>
      </c>
      <c r="I26">
        <v>60056.666666666664</v>
      </c>
    </row>
    <row r="27" spans="2:9" x14ac:dyDescent="0.3">
      <c r="H27" s="2">
        <v>15</v>
      </c>
      <c r="I27">
        <v>102797.2</v>
      </c>
    </row>
    <row r="28" spans="2:9" x14ac:dyDescent="0.3">
      <c r="H28" s="2">
        <v>16</v>
      </c>
      <c r="I28">
        <v>120533.5</v>
      </c>
    </row>
    <row r="29" spans="2:9" x14ac:dyDescent="0.3">
      <c r="H29" s="2">
        <v>17</v>
      </c>
      <c r="I29">
        <v>58516</v>
      </c>
    </row>
    <row r="30" spans="2:9" x14ac:dyDescent="0.3">
      <c r="H30" s="2">
        <v>18</v>
      </c>
      <c r="I30">
        <v>54110.333333333336</v>
      </c>
    </row>
    <row r="31" spans="2:9" x14ac:dyDescent="0.3">
      <c r="H31" s="2">
        <v>19</v>
      </c>
      <c r="I31">
        <v>68525</v>
      </c>
    </row>
    <row r="32" spans="2:9" x14ac:dyDescent="0.3">
      <c r="H32" s="2" t="s">
        <v>77</v>
      </c>
      <c r="I32">
        <v>82288.800000000003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40F7-82F7-4C78-BB3F-B79DE6E01887}">
  <dimension ref="A1"/>
  <sheetViews>
    <sheetView zoomScale="56" zoomScaleNormal="85" workbookViewId="0">
      <selection activeCell="S24" sqref="S24"/>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97A5-080C-43E8-993D-0152C07EF922}">
  <dimension ref="A1:P7"/>
  <sheetViews>
    <sheetView tabSelected="1" zoomScale="92" zoomScaleNormal="50" workbookViewId="0">
      <selection activeCell="V7" sqref="V7"/>
    </sheetView>
  </sheetViews>
  <sheetFormatPr defaultRowHeight="14.4" x14ac:dyDescent="0.3"/>
  <sheetData>
    <row r="1" spans="1:16" ht="18" x14ac:dyDescent="0.35">
      <c r="A1" s="7" t="s">
        <v>85</v>
      </c>
      <c r="B1" s="8"/>
      <c r="C1" s="8"/>
      <c r="D1" s="8"/>
      <c r="E1" s="8"/>
      <c r="F1" s="8"/>
      <c r="G1" s="8"/>
      <c r="H1" s="8"/>
      <c r="I1" s="8"/>
      <c r="J1" s="8"/>
      <c r="K1" s="8"/>
      <c r="L1" s="8"/>
      <c r="M1" s="8"/>
      <c r="N1" s="8"/>
      <c r="O1" s="8"/>
      <c r="P1" s="8"/>
    </row>
    <row r="2" spans="1:16" x14ac:dyDescent="0.3">
      <c r="A2" s="9">
        <f>COUNTA(DATASET!B2:B52)</f>
        <v>50</v>
      </c>
      <c r="B2" s="9"/>
      <c r="C2" s="9"/>
      <c r="D2" s="9">
        <f>AVERAGE(DATASET!D2:D51)</f>
        <v>9.9</v>
      </c>
      <c r="E2" s="9"/>
      <c r="F2" s="9"/>
      <c r="G2" s="9">
        <f>AVERAGE(DATASET!I2:I51)</f>
        <v>82288.800000000003</v>
      </c>
      <c r="H2" s="9"/>
      <c r="I2" s="9"/>
      <c r="J2" s="10">
        <f>AVERAGE(DATASET!F2:F51)</f>
        <v>39.76</v>
      </c>
      <c r="K2" s="10"/>
      <c r="L2" s="10"/>
      <c r="M2" s="9">
        <f>MAX(DATASET!I2:I51)</f>
        <v>149123</v>
      </c>
      <c r="N2" s="9"/>
      <c r="O2" s="9"/>
    </row>
    <row r="3" spans="1:16" x14ac:dyDescent="0.3">
      <c r="A3" s="9"/>
      <c r="B3" s="9"/>
      <c r="C3" s="9"/>
      <c r="D3" s="9"/>
      <c r="E3" s="9"/>
      <c r="F3" s="9"/>
      <c r="G3" s="9"/>
      <c r="H3" s="9"/>
      <c r="I3" s="9"/>
      <c r="J3" s="10"/>
      <c r="K3" s="10"/>
      <c r="L3" s="10"/>
      <c r="M3" s="9"/>
      <c r="N3" s="9"/>
      <c r="O3" s="9"/>
    </row>
    <row r="4" spans="1:16" x14ac:dyDescent="0.3">
      <c r="A4" s="9"/>
      <c r="B4" s="9"/>
      <c r="C4" s="9"/>
      <c r="D4" s="9"/>
      <c r="E4" s="9"/>
      <c r="F4" s="9"/>
      <c r="G4" s="9"/>
      <c r="H4" s="9"/>
      <c r="I4" s="9"/>
      <c r="J4" s="10"/>
      <c r="K4" s="10"/>
      <c r="L4" s="10"/>
      <c r="M4" s="9"/>
      <c r="N4" s="9"/>
      <c r="O4" s="9"/>
    </row>
    <row r="5" spans="1:16" x14ac:dyDescent="0.3">
      <c r="E5" s="1"/>
    </row>
    <row r="7" spans="1:16" x14ac:dyDescent="0.3">
      <c r="F7" s="6"/>
    </row>
  </sheetData>
  <mergeCells count="6">
    <mergeCell ref="A1:P1"/>
    <mergeCell ref="A2:C4"/>
    <mergeCell ref="D2:F4"/>
    <mergeCell ref="G2:I4"/>
    <mergeCell ref="J2:L4"/>
    <mergeCell ref="M2:O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3D0843-179C-454F-9182-40BA7CCDB8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TABLES</vt:lpstr>
      <vt:lpstr>PIVOT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Sarita Kushwaha</cp:lastModifiedBy>
  <dcterms:created xsi:type="dcterms:W3CDTF">2026-06-28T16:57:28Z</dcterms:created>
  <dcterms:modified xsi:type="dcterms:W3CDTF">2026-10-06T11:18:08Z</dcterms:modified>
</cp:coreProperties>
</file>